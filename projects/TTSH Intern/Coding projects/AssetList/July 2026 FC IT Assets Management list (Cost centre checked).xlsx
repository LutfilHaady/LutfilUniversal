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peihow\OneDrive - HealthSG\Desktop\"/>
    </mc:Choice>
  </mc:AlternateContent>
  <xr:revisionPtr revIDLastSave="1" documentId="13_ncr:1_{370F1869-90A5-487A-9A83-DF46E30A0A9C}" xr6:coauthVersionLast="47" xr6:coauthVersionMax="47" xr10:uidLastSave="{EC7EFCD9-CF47-4B4D-87AE-BA6A2D985061}"/>
  <bookViews>
    <workbookView xWindow="-120" yWindow="-120" windowWidth="29040" windowHeight="17520" firstSheet="4" activeTab="5" xr2:uid="{FB8BF130-9348-4DCD-BC9D-80EBDB447DF2}"/>
  </bookViews>
  <sheets>
    <sheet name="OVERVIEW" sheetId="12" r:id="rId1"/>
    <sheet name="A1 L5 (Peixin)" sheetId="3" r:id="rId2"/>
    <sheet name="ICH PSO(Sylvia)" sheetId="10" r:id="rId3"/>
    <sheet name="PSO Office mTTSH Infligh (Yati)" sheetId="1" r:id="rId4"/>
    <sheet name="AO+NCID (Fatris)" sheetId="5" r:id="rId5"/>
    <sheet name="EDFC (Guo wei)" sheetId="4" r:id="rId6"/>
    <sheet name="Condemned" sheetId="8" state="hidden" r:id="rId7"/>
    <sheet name="Dirty Laptop" sheetId="9" state="hidden" r:id="rId8"/>
    <sheet name="Fixed Asset list" sheetId="11" r:id="rId9"/>
  </sheets>
  <definedNames>
    <definedName name="_xlnm._FilterDatabase" localSheetId="1" hidden="1">'A1 L5 (Peixin)'!$A$2:$N$30</definedName>
    <definedName name="_xlnm._FilterDatabase" localSheetId="4" hidden="1">'AO+NCID (Fatris)'!$A$2:$M$15</definedName>
    <definedName name="_xlnm._FilterDatabase" localSheetId="6" hidden="1">Condemned!$A$1:$I$2</definedName>
    <definedName name="_xlnm._FilterDatabase" localSheetId="8" hidden="1">'Fixed Asset list'!$A$1:$Y$140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2" l="1"/>
  <c r="G23" i="12"/>
  <c r="F23" i="12"/>
  <c r="F24" i="12"/>
  <c r="S3" i="3"/>
  <c r="S6" i="3"/>
  <c r="S9" i="3"/>
  <c r="S18" i="3"/>
  <c r="S21" i="3"/>
  <c r="S25" i="3"/>
  <c r="S23" i="3"/>
  <c r="S24" i="3"/>
  <c r="S12" i="3"/>
  <c r="S14" i="3"/>
  <c r="S15" i="3"/>
  <c r="S16" i="3"/>
  <c r="S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tc={87D3BC48-5918-4AAC-94FC-9594E3FE9060}</author>
  </authors>
  <commentList>
    <comment ref="B25" authorId="0" shapeId="0" xr:uid="{87D3BC48-5918-4AAC-94FC-9594E3FE9060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is this laptop located?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Norfadzillah Bte Esman (TTSH)</author>
    <author>LEOW JIA MIN CHARMAINE</author>
  </authors>
  <commentList>
    <comment ref="G13" authorId="0" shapeId="0" xr:uid="{8AF73A9F-1D06-43A3-A294-3AE7F215534D}">
      <text>
        <r>
          <rPr>
            <b/>
            <sz val="9"/>
            <color indexed="81"/>
            <rFont val="Tahoma"/>
            <family val="2"/>
          </rPr>
          <t>Norfadzillah Bte Esman (TTSH): Old record: TTSNC181664PWS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" authorId="1" shapeId="0" xr:uid="{0695F798-4390-4610-B200-BBAA089AF2F0}">
      <text>
        <r>
          <rPr>
            <b/>
            <sz val="9"/>
            <color indexed="81"/>
            <rFont val="Tahoma"/>
            <family val="2"/>
          </rPr>
          <t>LEOW JIA MIN CHARMAINE:</t>
        </r>
        <r>
          <rPr>
            <sz val="9"/>
            <color indexed="81"/>
            <rFont val="Tahoma"/>
            <family val="2"/>
          </rPr>
          <t xml:space="preserve">
Should be T6100057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tc={76DDDF40-8BC9-4199-86B7-3763F50BBF3C}</author>
    <author>tc={57712CB7-308C-4FF4-BC0A-25B5E083A2FD}</author>
    <author>tc={F513C3CE-ADE9-453F-9088-BDF1AB0CA77C}</author>
    <author>tc={262D5265-05A4-4ECE-890C-E24D2F4E8429}</author>
    <author>Norfadzillah Bte Esman (TTSH)</author>
    <author>Wee Geik Siau</author>
  </authors>
  <commentList>
    <comment ref="D3" authorId="0" shapeId="0" xr:uid="{76DDDF40-8BC9-4199-86B7-3763F50BBF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-903PC197563
</t>
      </text>
    </comment>
    <comment ref="E3" authorId="1" shapeId="0" xr:uid="{57712CB7-308C-4FF4-BC0A-25B5E083A2FD}">
      <text>
        <t>[Threaded comment]
Your version of Excel allows you to read this threaded comment; however, any edits to it will get removed if the file is opened in a newer version of Excel. Learn more: https://go.microsoft.com/fwlink/?linkid=870924
Comment:
    Old- PC17QP9S</t>
      </text>
    </comment>
    <comment ref="F3" authorId="2" shapeId="0" xr:uid="{F513C3CE-ADE9-453F-9088-BDF1AB0CA77C}">
      <text>
        <t>[Threaded comment]
Your version of Excel allows you to read this threaded comment; however, any edits to it will get removed if the file is opened in a newer version of Excel. Learn more: https://go.microsoft.com/fwlink/?linkid=870924
Comment:
    Old-51031184-0/2019</t>
      </text>
    </comment>
    <comment ref="G3" authorId="3" shapeId="0" xr:uid="{262D5265-05A4-4ECE-890C-E24D2F4E84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- TTSAX2197563PNS</t>
      </text>
    </comment>
    <comment ref="G4" authorId="4" shapeId="0" xr:uid="{B9C045A1-80F7-44B9-8500-DE4448554787}">
      <text>
        <r>
          <rPr>
            <b/>
            <sz val="9"/>
            <color indexed="81"/>
            <rFont val="Tahoma"/>
            <family val="2"/>
          </rPr>
          <t>How Pei xin (TTSH): Old record: TTSEDB196340PWC</t>
        </r>
      </text>
    </comment>
    <comment ref="G5" authorId="4" shapeId="0" xr:uid="{74F47938-0F08-4203-88BD-C7591EFDF900}">
      <text>
        <r>
          <rPr>
            <b/>
            <sz val="9"/>
            <color indexed="81"/>
            <rFont val="Tahoma"/>
            <family val="2"/>
          </rPr>
          <t>How Pei xin (TTSH): Old record: TTSEDB196340PWC</t>
        </r>
      </text>
    </comment>
    <comment ref="D12" authorId="5" shapeId="0" xr:uid="{C3397EC4-C426-41B2-B677-E5E849697F39}">
      <text>
        <r>
          <rPr>
            <b/>
            <sz val="9"/>
            <color indexed="81"/>
            <rFont val="Tahoma"/>
            <family val="2"/>
          </rPr>
          <t>Wee Geik Siau:</t>
        </r>
        <r>
          <rPr>
            <sz val="9"/>
            <color indexed="81"/>
            <rFont val="Tahoma"/>
            <family val="2"/>
          </rPr>
          <t xml:space="preserve">
ITD Engineer noted and will prepare ITD Tag sticker 13.11.2024</t>
        </r>
      </text>
    </comment>
    <comment ref="D13" authorId="5" shapeId="0" xr:uid="{7A184B04-A3B4-43BC-B433-9F9F3EF97DF1}">
      <text>
        <r>
          <rPr>
            <b/>
            <sz val="9"/>
            <color indexed="81"/>
            <rFont val="Tahoma"/>
            <family val="2"/>
          </rPr>
          <t>Wee Geik Siau:</t>
        </r>
        <r>
          <rPr>
            <sz val="9"/>
            <color indexed="81"/>
            <rFont val="Tahoma"/>
            <family val="2"/>
          </rPr>
          <t xml:space="preserve">
Own asset </t>
        </r>
      </text>
    </comment>
  </commentList>
</comments>
</file>

<file path=xl/sharedStrings.xml><?xml version="1.0" encoding="utf-8"?>
<sst xmlns="http://schemas.openxmlformats.org/spreadsheetml/2006/main" count="5125" uniqueCount="1543">
  <si>
    <t>POC</t>
  </si>
  <si>
    <t>Peixin</t>
  </si>
  <si>
    <t>Guo Wei</t>
  </si>
  <si>
    <t>Yati</t>
  </si>
  <si>
    <t>Avril</t>
  </si>
  <si>
    <t>Sylvia</t>
  </si>
  <si>
    <t>Cost centre</t>
  </si>
  <si>
    <t>T3100057</t>
  </si>
  <si>
    <t>T6100057</t>
  </si>
  <si>
    <t>T8100057</t>
  </si>
  <si>
    <t>Annex 1</t>
  </si>
  <si>
    <t>EDFC</t>
  </si>
  <si>
    <t>Inflight</t>
  </si>
  <si>
    <t>TTSH AO</t>
  </si>
  <si>
    <t>NCID AO</t>
  </si>
  <si>
    <t>ICH PSO</t>
  </si>
  <si>
    <t>Fixed asset?</t>
  </si>
  <si>
    <t>Laptop</t>
  </si>
  <si>
    <t>YES</t>
  </si>
  <si>
    <t>Monitor + CPU</t>
  </si>
  <si>
    <t>CPU</t>
  </si>
  <si>
    <t>Tablet (surface pro/ X12 detachable)</t>
  </si>
  <si>
    <t>Printer (Epson or other brand)</t>
  </si>
  <si>
    <t>NO</t>
  </si>
  <si>
    <t>Document scanner</t>
  </si>
  <si>
    <t>To confirm with Peixin</t>
  </si>
  <si>
    <t>Topaz Signature pad</t>
  </si>
  <si>
    <t>Remarks</t>
  </si>
  <si>
    <t>Training laptops (PX)
Admin staff laptops (Team leads, Mgrs)</t>
  </si>
  <si>
    <t>3 nets machine</t>
  </si>
  <si>
    <t>To condemn 10 laptops and 1 tablet</t>
  </si>
  <si>
    <t>ITO leasing</t>
  </si>
  <si>
    <t>Updated by Keeley 2 May 2025</t>
  </si>
  <si>
    <t>CPU + monitor = 1569 (4 years), 32.7 (month), 392.4 (1 year)</t>
  </si>
  <si>
    <t>laptop = 42.65 (month), 511.8 (1 year), 1791.30 (42 months full term)</t>
  </si>
  <si>
    <t>Role</t>
  </si>
  <si>
    <t xml:space="preserve">Device </t>
  </si>
  <si>
    <t>Team leads (including ME)</t>
  </si>
  <si>
    <t>4 laptops</t>
  </si>
  <si>
    <t>Kenzo and Chris’ units on PCLM</t>
  </si>
  <si>
    <t>CPU monitor</t>
  </si>
  <si>
    <t>Admin - Amara, Charmaine</t>
  </si>
  <si>
    <t>2 laptops</t>
  </si>
  <si>
    <t>Training – PX</t>
  </si>
  <si>
    <t>1 desktop</t>
  </si>
  <si>
    <t>Testing &amp; spare</t>
  </si>
  <si>
    <t>2 testing laptops (1 normally used by PX)</t>
  </si>
  <si>
    <t>1 testing tablet</t>
  </si>
  <si>
    <t>Intern (Weikiat)</t>
  </si>
  <si>
    <t>1 laptop</t>
  </si>
  <si>
    <t>On PCLM</t>
  </si>
  <si>
    <t>MA</t>
  </si>
  <si>
    <t>Laptop from MDO</t>
  </si>
  <si>
    <t>Cost Centre T3100057</t>
  </si>
  <si>
    <t>No.</t>
  </si>
  <si>
    <t>User</t>
  </si>
  <si>
    <t>Asset Type</t>
  </si>
  <si>
    <t xml:space="preserve">ITD Tag No. </t>
  </si>
  <si>
    <t xml:space="preserve">Serial No. </t>
  </si>
  <si>
    <t>Finance Asset Tag</t>
  </si>
  <si>
    <t>Host Name</t>
  </si>
  <si>
    <t>Location</t>
  </si>
  <si>
    <t>Nickname</t>
  </si>
  <si>
    <t xml:space="preserve">Topaz installation </t>
  </si>
  <si>
    <t>Last update</t>
  </si>
  <si>
    <t>Remarks(If any)</t>
  </si>
  <si>
    <t>NGEMR EUD Deployment</t>
  </si>
  <si>
    <t>Deployment date</t>
  </si>
  <si>
    <t xml:space="preserve">TDR Status </t>
  </si>
  <si>
    <t>Updated date</t>
  </si>
  <si>
    <t>Nov 2024 Need to reprint?</t>
  </si>
  <si>
    <t>COST CENTRE</t>
  </si>
  <si>
    <t>Stephanie</t>
  </si>
  <si>
    <t>903PC198650( old)TTSHNL250424</t>
  </si>
  <si>
    <t xml:space="preserve">PF58S6RT </t>
  </si>
  <si>
    <t>51031685</t>
  </si>
  <si>
    <t>TTSAX1198650PNS</t>
  </si>
  <si>
    <t xml:space="preserve">ICH Level 2 </t>
  </si>
  <si>
    <t>No finance asset tag</t>
  </si>
  <si>
    <t>√</t>
  </si>
  <si>
    <t>Tech refresh complete in Apr 2025</t>
  </si>
  <si>
    <t>Yes</t>
  </si>
  <si>
    <t>Kenzo</t>
  </si>
  <si>
    <t>TTSHNL240036</t>
  </si>
  <si>
    <r>
      <rPr>
        <strike/>
        <sz val="12"/>
        <color theme="1"/>
        <rFont val="Calibri"/>
        <family val="2"/>
        <scheme val="minor"/>
      </rPr>
      <t>PC17QN8R (CONDEMNED)</t>
    </r>
    <r>
      <rPr>
        <sz val="12"/>
        <color theme="1"/>
        <rFont val="Calibri"/>
        <family val="2"/>
        <scheme val="minor"/>
      </rPr>
      <t xml:space="preserve">
GM0R5BXV (NEW)</t>
    </r>
  </si>
  <si>
    <t>51031178/2019</t>
  </si>
  <si>
    <t>TTSAX1197557PNS</t>
  </si>
  <si>
    <t>Lenovo x270 (OLD)
Lenovo T14s (NEW)</t>
  </si>
  <si>
    <t>-</t>
  </si>
  <si>
    <t xml:space="preserve"> </t>
  </si>
  <si>
    <t>Manager laptop</t>
  </si>
  <si>
    <t>LAPTOP</t>
  </si>
  <si>
    <t>903PC196738 (NEW?)
903PC190523(OLD- not in FA list) TTSHNL240036</t>
  </si>
  <si>
    <t>PC0UDZLP(OLD) 
GMORA3TH (NEW PCLM)</t>
  </si>
  <si>
    <t>51022981</t>
  </si>
  <si>
    <t>TTSAX1196738PNS</t>
  </si>
  <si>
    <t>Cupboard A1 L5-N-W020</t>
  </si>
  <si>
    <t>Song Heok</t>
  </si>
  <si>
    <t>903PC202770(OLD) TTSHNL250360</t>
  </si>
  <si>
    <t>51YXX33</t>
  </si>
  <si>
    <t>51030984-0/0000</t>
  </si>
  <si>
    <t>TTSAX1202770PNS</t>
  </si>
  <si>
    <t>Workstation A1 L5-N-W015</t>
  </si>
  <si>
    <t>Due for tech refresh 2025</t>
  </si>
  <si>
    <t xml:space="preserve">Thaddeus Yap </t>
  </si>
  <si>
    <t>903PC114713 (Old)
903PC200050 (New)</t>
  </si>
  <si>
    <t>PC13DXC4</t>
  </si>
  <si>
    <t>51026751/2019</t>
  </si>
  <si>
    <t>TTSAX1200050PNS</t>
  </si>
  <si>
    <t>Workstation A1 L5-N-W018</t>
  </si>
  <si>
    <t xml:space="preserve">No ITD &amp; finance asset tag </t>
  </si>
  <si>
    <t xml:space="preserve">For new executive </t>
  </si>
  <si>
    <t xml:space="preserve">Peixin </t>
  </si>
  <si>
    <t>903PC198930(OLD)  TTSPC240887(NEW) TTSHNL251015</t>
  </si>
  <si>
    <t>PF1YA0XL
PW0B0CC7 (new)</t>
  </si>
  <si>
    <t>51031882-0/2019
51041768-0 (new)</t>
  </si>
  <si>
    <t>TTSTWB198930PNS (OLD) TTSHPC240887(NEW)</t>
  </si>
  <si>
    <t>Workstation A1 L5-N-W019</t>
  </si>
  <si>
    <t>FC02</t>
  </si>
  <si>
    <t>No</t>
  </si>
  <si>
    <t>T3080010</t>
  </si>
  <si>
    <t>903PC197481(OLD) TTSHWL250839</t>
  </si>
  <si>
    <t>6C2CQ03</t>
  </si>
  <si>
    <t>51029215-0/2019</t>
  </si>
  <si>
    <t>TTSAX1197481PWS(Old) TTSHCTCTEMPZEJY(New)</t>
  </si>
  <si>
    <t>Pei Xin table</t>
  </si>
  <si>
    <t>Muhammad Lutfil Haady Bin Zulkarnain</t>
  </si>
  <si>
    <t>903PC197567(Old) TTSPC230488 (New)</t>
  </si>
  <si>
    <t>PW05TV9L</t>
  </si>
  <si>
    <t>51038521/2023</t>
  </si>
  <si>
    <t>TTSAX1230488PNS</t>
  </si>
  <si>
    <t>Workstation A1 L5</t>
  </si>
  <si>
    <t>New laptop</t>
  </si>
  <si>
    <t>No --&gt; Yes</t>
  </si>
  <si>
    <t xml:space="preserve">Charmaine </t>
  </si>
  <si>
    <r>
      <rPr>
        <strike/>
        <sz val="12"/>
        <color theme="1"/>
        <rFont val="Calibri"/>
        <family val="2"/>
        <scheme val="minor"/>
      </rPr>
      <t>903PC196653(Old)</t>
    </r>
    <r>
      <rPr>
        <sz val="12"/>
        <color theme="1"/>
        <rFont val="Calibri"/>
        <family val="2"/>
        <scheme val="minor"/>
      </rPr>
      <t xml:space="preserve"> TTSPC231013(New)</t>
    </r>
  </si>
  <si>
    <t>PW07FFB5</t>
  </si>
  <si>
    <t>51039982/ 2023</t>
  </si>
  <si>
    <t>TTSAX1231013PNS</t>
  </si>
  <si>
    <t>Workstation A1 L5-N-W017a</t>
  </si>
  <si>
    <t>Common user/ RVE laptop</t>
  </si>
  <si>
    <t>903PC197228(OLD) TTSHNL250639</t>
  </si>
  <si>
    <t>PF1YE8SG</t>
  </si>
  <si>
    <t>51031451-0/2019</t>
  </si>
  <si>
    <t>TTSTWB197228PNS</t>
  </si>
  <si>
    <t>Fully installed with scanner</t>
  </si>
  <si>
    <t>New laptop ( RVE ready)</t>
  </si>
  <si>
    <t>Tech refresh complete in Apr 2025
used for biometric attendance</t>
  </si>
  <si>
    <t xml:space="preserve">EFC testing </t>
  </si>
  <si>
    <t>Tablet</t>
  </si>
  <si>
    <t>903PC221020</t>
  </si>
  <si>
    <t>PW01F480</t>
  </si>
  <si>
    <t>51036439/2022</t>
  </si>
  <si>
    <t>FC Training 1</t>
  </si>
  <si>
    <t>Training Tablet (EFC testing)</t>
  </si>
  <si>
    <t>Common user</t>
  </si>
  <si>
    <t>903PC191011</t>
  </si>
  <si>
    <t>51020526-0/2016</t>
  </si>
  <si>
    <t>TTSAX2191011PNS</t>
  </si>
  <si>
    <t>INP OPS, FC</t>
  </si>
  <si>
    <t>MS SurfacePro/No stylus</t>
  </si>
  <si>
    <t>Passed on 05/07/2022 but not updated in TDR list
To condemn</t>
  </si>
  <si>
    <t>903PC197490</t>
  </si>
  <si>
    <t>6C7BQ03</t>
  </si>
  <si>
    <t>51029224-0/2019</t>
  </si>
  <si>
    <t>TTSAX1197490PWS</t>
  </si>
  <si>
    <t>INP OPS, FC (A1)</t>
  </si>
  <si>
    <t>Assessment PC</t>
  </si>
  <si>
    <t>To condemn</t>
  </si>
  <si>
    <t>903PC198391</t>
  </si>
  <si>
    <t>7TCBQ03</t>
  </si>
  <si>
    <t>51029483/ 2022</t>
  </si>
  <si>
    <t>TTSAX1198391PWS</t>
  </si>
  <si>
    <t>INP OPS, FC (A2)</t>
  </si>
  <si>
    <r>
      <t xml:space="preserve">Assessment PC - </t>
    </r>
    <r>
      <rPr>
        <sz val="12"/>
        <color rgb="FFFF0000"/>
        <rFont val="Calibri"/>
        <family val="2"/>
        <scheme val="minor"/>
      </rPr>
      <t>No finance asset tag</t>
    </r>
  </si>
  <si>
    <t>903PC197174</t>
  </si>
  <si>
    <t>NXVGGSG0159170FA093400</t>
  </si>
  <si>
    <t>51026545-0/2019</t>
  </si>
  <si>
    <t>TTSAX1197174PNS</t>
  </si>
  <si>
    <t>FC01</t>
  </si>
  <si>
    <t>N-Acer Travelmate TMP 648-G2/G3 CERPR 19322352 NXVGGSG0159170FA093400
To condemn</t>
  </si>
  <si>
    <t>903PC197558</t>
  </si>
  <si>
    <t>PC17QN8H</t>
  </si>
  <si>
    <t>51031179-0/2019</t>
  </si>
  <si>
    <t>TTSAX2197558PNS</t>
  </si>
  <si>
    <t>Cupboard A1 L5-N-W017</t>
  </si>
  <si>
    <t>Training01</t>
  </si>
  <si>
    <t>Training PC</t>
  </si>
  <si>
    <t>903PC114715 (Old)
903PC196842 (New)</t>
  </si>
  <si>
    <t>PC0BMXY3</t>
  </si>
  <si>
    <t>51020709-0/2016</t>
  </si>
  <si>
    <t>TTSAX2196842PNS</t>
  </si>
  <si>
    <t>Training02</t>
  </si>
  <si>
    <t>903PC181768 (Old)
903PC196591 (New)</t>
  </si>
  <si>
    <t>PC0U8FDG</t>
  </si>
  <si>
    <t>51024132/2018</t>
  </si>
  <si>
    <t>TTSAX1196591PNS</t>
  </si>
  <si>
    <t>Training03</t>
  </si>
  <si>
    <t>903PC170107</t>
  </si>
  <si>
    <t>NXVD4SG0047170AFF27600</t>
  </si>
  <si>
    <t>51022125-0/2017</t>
  </si>
  <si>
    <t>TTSAX1170107PNS</t>
  </si>
  <si>
    <t>Training04</t>
  </si>
  <si>
    <t>903PC114712 (Old)
903PC196843 (New)</t>
  </si>
  <si>
    <t>PC0BMXY2</t>
  </si>
  <si>
    <t>51020711-0/2016</t>
  </si>
  <si>
    <t>TTSAX1196843PNS</t>
  </si>
  <si>
    <t>Training06</t>
  </si>
  <si>
    <t>903PC197569</t>
  </si>
  <si>
    <t>PC17QN9A</t>
  </si>
  <si>
    <t>51031190-0/2019</t>
  </si>
  <si>
    <t>TTSAX1197569PNS</t>
  </si>
  <si>
    <t>FC03</t>
  </si>
  <si>
    <t>New laptop, no MS Office</t>
  </si>
  <si>
    <t>903PC197566</t>
  </si>
  <si>
    <t>PC17QPA4</t>
  </si>
  <si>
    <t>51031187-0/2019</t>
  </si>
  <si>
    <t>TTSAX1197566PNS</t>
  </si>
  <si>
    <t>FC04</t>
  </si>
  <si>
    <t>903PC114714</t>
  </si>
  <si>
    <t>PC0BMXXZ</t>
  </si>
  <si>
    <t>51020708-0/2016</t>
  </si>
  <si>
    <t>TTSAX1196845PNS</t>
  </si>
  <si>
    <t>Training05</t>
  </si>
  <si>
    <t>did not submit this laptop for topaz</t>
  </si>
  <si>
    <t>LOAN FROM ITD (Dirty laptop)</t>
  </si>
  <si>
    <t>903PC203146</t>
  </si>
  <si>
    <t>NXVEASG002830000230201</t>
  </si>
  <si>
    <t>LOAN-TTSH-191</t>
  </si>
  <si>
    <t>Dirty laptop, ACER TRAVELMATE P249M G-76RZ</t>
  </si>
  <si>
    <t>Likely bought in 2017?</t>
  </si>
  <si>
    <t>Can login but cannot function well</t>
  </si>
  <si>
    <t>903PC203147</t>
  </si>
  <si>
    <t>NXVEASG002830000330201</t>
  </si>
  <si>
    <t>LOAN-TTSH-192</t>
  </si>
  <si>
    <t xml:space="preserve">Working </t>
  </si>
  <si>
    <t>LOAN FORM ITD (Dirty Laptop)</t>
  </si>
  <si>
    <t>903PC203271</t>
  </si>
  <si>
    <t>PF-19E2HH</t>
  </si>
  <si>
    <t>LOAN-TTSH-317</t>
  </si>
  <si>
    <t>Pass to Chris on (01.09.2025)for AO project</t>
  </si>
  <si>
    <t>Dirty laptop, LENOVO THINKPAD E480</t>
  </si>
  <si>
    <t>Likely bought in 2018?</t>
  </si>
  <si>
    <t>903PC203148</t>
  </si>
  <si>
    <t>NXVEASG0028300001E0201</t>
  </si>
  <si>
    <t>51024634</t>
  </si>
  <si>
    <t>LOAN-TTSH-193</t>
  </si>
  <si>
    <t>PSO Hardward Cupboard</t>
  </si>
  <si>
    <t>193 - Annex 1, L5 DL</t>
  </si>
  <si>
    <t>T3100057Can login but cannot function well</t>
  </si>
  <si>
    <t>903PC203269</t>
  </si>
  <si>
    <t>PF19DZX5</t>
  </si>
  <si>
    <t>51024490-0/2018</t>
  </si>
  <si>
    <t>LOAN-TTSH-315</t>
  </si>
  <si>
    <t xml:space="preserve">T3100057Working </t>
  </si>
  <si>
    <t xml:space="preserve">Cost Centre T8100057 </t>
  </si>
  <si>
    <t>Computer Name/Host name</t>
  </si>
  <si>
    <t>Last updated</t>
  </si>
  <si>
    <t>NINA NATHANI</t>
  </si>
  <si>
    <t>Lenovo x12 Detachable</t>
  </si>
  <si>
    <t>TTSPC230693</t>
  </si>
  <si>
    <t>PW073FM0</t>
  </si>
  <si>
    <t>52007020 / 2023</t>
  </si>
  <si>
    <t>TTSICH230693PNS</t>
  </si>
  <si>
    <t>ICHFC 1</t>
  </si>
  <si>
    <t>13.02.2025</t>
  </si>
  <si>
    <t>Transferred from T8080010 to our dept T8011157 via Decision on 21 Sep 2024</t>
  </si>
  <si>
    <t>FUNG OON YEE (FIEDA)</t>
  </si>
  <si>
    <t>TTSPC230689</t>
  </si>
  <si>
    <t>PW073FM1</t>
  </si>
  <si>
    <t>52007024 / 2023</t>
  </si>
  <si>
    <t>TTSICH230689PNS</t>
  </si>
  <si>
    <t>ICHFC 2</t>
  </si>
  <si>
    <t>28.09.2023</t>
  </si>
  <si>
    <t>NEO FANG MIN SYLVIA</t>
  </si>
  <si>
    <t>TTSPC230694</t>
  </si>
  <si>
    <t>PW073FM2</t>
  </si>
  <si>
    <t>52007022 / 2023</t>
  </si>
  <si>
    <t>TTSICH230694PNS</t>
  </si>
  <si>
    <t>ICHFC 3</t>
  </si>
  <si>
    <t>RAVIN SHANMUGAM</t>
  </si>
  <si>
    <t>TTSPC230696</t>
  </si>
  <si>
    <t>PW073FM3</t>
  </si>
  <si>
    <t>52007019 / 2023</t>
  </si>
  <si>
    <t>TTSICH230696PNS</t>
  </si>
  <si>
    <t>ICHFC 4</t>
  </si>
  <si>
    <t>User 5</t>
  </si>
  <si>
    <t>TTSPC230690</t>
  </si>
  <si>
    <t>PW073FM4</t>
  </si>
  <si>
    <t>52007017 / 2023</t>
  </si>
  <si>
    <t>TTSICH230690PNS</t>
  </si>
  <si>
    <t>ICHFC 5</t>
  </si>
  <si>
    <t>NORSAZLYNAH BINTE ZAINUDIN</t>
  </si>
  <si>
    <t>TTSPC230692</t>
  </si>
  <si>
    <t>PW073FM5</t>
  </si>
  <si>
    <t>52007015 / 2023</t>
  </si>
  <si>
    <t>TTSICH230692PNS</t>
  </si>
  <si>
    <t>ICHFC 6</t>
  </si>
  <si>
    <t>LIM HAI YEN</t>
  </si>
  <si>
    <t>TTSPC230695</t>
  </si>
  <si>
    <t>PW073FM8</t>
  </si>
  <si>
    <t>52007013 / 2023</t>
  </si>
  <si>
    <t>TTSICH230695PNS</t>
  </si>
  <si>
    <t>ICHFC 7</t>
  </si>
  <si>
    <t>LOAN TO INFLIGHT</t>
  </si>
  <si>
    <t>YONG JUN QI (CHRISTOPHER)</t>
  </si>
  <si>
    <t>TTSPC230697</t>
  </si>
  <si>
    <t>PW073FMA</t>
  </si>
  <si>
    <t>52007018 / 2023</t>
  </si>
  <si>
    <t>TTSICH230697PNS</t>
  </si>
  <si>
    <t>ICHFC 8</t>
  </si>
  <si>
    <t>KENZO LIM MARN CHERN</t>
  </si>
  <si>
    <t>TTSPC230691</t>
  </si>
  <si>
    <t>PW073FMB</t>
  </si>
  <si>
    <t>52007021 / 2023</t>
  </si>
  <si>
    <t>TTSICH230691PNS</t>
  </si>
  <si>
    <t>ICHFC 9</t>
  </si>
  <si>
    <t>LOAN FOR TESTING</t>
  </si>
  <si>
    <t>CPU+MONITOR</t>
  </si>
  <si>
    <t>903PC222322</t>
  </si>
  <si>
    <t>GM04ZXX4</t>
  </si>
  <si>
    <t>52005450 / 2023</t>
  </si>
  <si>
    <t>TTSICH222322PWS</t>
  </si>
  <si>
    <t xml:space="preserve">ICH PSO COUNTER </t>
  </si>
  <si>
    <t>903PC222323</t>
  </si>
  <si>
    <t>GM05CLZ4</t>
  </si>
  <si>
    <t>52005692 / 2023</t>
  </si>
  <si>
    <t>TTSICH222323PWS</t>
  </si>
  <si>
    <t>903PC222321</t>
  </si>
  <si>
    <t>GM05CLTL</t>
  </si>
  <si>
    <t>52005618 / 2023</t>
  </si>
  <si>
    <t>TTSICH222321PWS</t>
  </si>
  <si>
    <t>PSO BACK ROOM</t>
  </si>
  <si>
    <t>903PC222324</t>
  </si>
  <si>
    <t>GM04ZXYM</t>
  </si>
  <si>
    <t>52005472 / 2023</t>
  </si>
  <si>
    <t>TTSICH22232APWS</t>
  </si>
  <si>
    <t>PSO SAFE ROOM</t>
  </si>
  <si>
    <t>N-Lenovo Thinkpad L14 FHD</t>
  </si>
  <si>
    <t>TTSPC230296</t>
  </si>
  <si>
    <t>PW05MJA5</t>
  </si>
  <si>
    <t>52005381 / 2023</t>
  </si>
  <si>
    <t>HP Laser Jet Enterprise M1106</t>
  </si>
  <si>
    <t>903PR220285</t>
  </si>
  <si>
    <t>PHCBG05375</t>
  </si>
  <si>
    <t>TTSICH220285PPS</t>
  </si>
  <si>
    <t>COUNTER 1</t>
  </si>
  <si>
    <t>903PR220276</t>
  </si>
  <si>
    <t>PHCBG01153</t>
  </si>
  <si>
    <t>TTSICH220276PPS</t>
  </si>
  <si>
    <t>ICH MANAGER ROOM</t>
  </si>
  <si>
    <t>HP Laser Jet Enterprise M611</t>
  </si>
  <si>
    <t>903PR220284</t>
  </si>
  <si>
    <t>CNBRQD418M</t>
  </si>
  <si>
    <t>TTSICH220284PPS</t>
  </si>
  <si>
    <t>903PR220277</t>
  </si>
  <si>
    <t>CNBRR2J0BS</t>
  </si>
  <si>
    <t>TTSICH220277PPS</t>
  </si>
  <si>
    <t>PSO OPEN OFFICE</t>
  </si>
  <si>
    <t>HP Office Jet Pro 8020e</t>
  </si>
  <si>
    <t>903PR220278</t>
  </si>
  <si>
    <t>TH24L5Q0FJ</t>
  </si>
  <si>
    <t>TTSICH220278PPS</t>
  </si>
  <si>
    <t>Epson Scanner</t>
  </si>
  <si>
    <t>NA</t>
  </si>
  <si>
    <t>X5XV000555</t>
  </si>
  <si>
    <t>X5XV000560</t>
  </si>
  <si>
    <t>X5XV000582</t>
  </si>
  <si>
    <t>Scanned Image is not clear with black lines</t>
  </si>
  <si>
    <t>X5XV000447</t>
  </si>
  <si>
    <t>X5XV000564</t>
  </si>
  <si>
    <t>X5XV000780</t>
  </si>
  <si>
    <t>PSO Counter 1</t>
  </si>
  <si>
    <t>X5XV002796</t>
  </si>
  <si>
    <t>PSO Counter 2</t>
  </si>
  <si>
    <t>X5XV002132</t>
  </si>
  <si>
    <t>COST CENTRE: T3100057</t>
  </si>
  <si>
    <t>Host name</t>
  </si>
  <si>
    <t>SITI ZABEDAH BINTE ABDUL AZIZ</t>
  </si>
  <si>
    <t>LAPTOP 1</t>
  </si>
  <si>
    <t>903PC221137</t>
  </si>
  <si>
    <t>PF3MQCAK</t>
  </si>
  <si>
    <t>51036759 / 2022</t>
  </si>
  <si>
    <t>TTSAX2221137PNS</t>
  </si>
  <si>
    <t>PSO-L2-W025</t>
  </si>
  <si>
    <t>SITI</t>
  </si>
  <si>
    <t>23.06.2026</t>
  </si>
  <si>
    <t>NORHAYATI BINTE DOL</t>
  </si>
  <si>
    <t>TABLET [TAB 7]</t>
  </si>
  <si>
    <t>903PC221018</t>
  </si>
  <si>
    <t>PW01F47T</t>
  </si>
  <si>
    <t>51036441 / 2022</t>
  </si>
  <si>
    <t>TTSAX2221018PNS</t>
  </si>
  <si>
    <t>PSO-L2-W020</t>
  </si>
  <si>
    <t>YATI</t>
  </si>
  <si>
    <t>LAGGING</t>
  </si>
  <si>
    <t>FATIN NASUHA BINTE ABDUL RAZAK</t>
  </si>
  <si>
    <t>LAPTOP 9</t>
  </si>
  <si>
    <t>TTSHNL251588</t>
  </si>
  <si>
    <t>PF5MARTM</t>
  </si>
  <si>
    <t>TTSAX1197565PNS</t>
  </si>
  <si>
    <t>PSO-L2-W026</t>
  </si>
  <si>
    <t>FATIN</t>
  </si>
  <si>
    <t>DHARSHENI D/O SELVARAJ</t>
  </si>
  <si>
    <t>TABLET [TAB 2]</t>
  </si>
  <si>
    <t>903PC221019</t>
  </si>
  <si>
    <t>PW01F47V</t>
  </si>
  <si>
    <t>51036436 / 2022</t>
  </si>
  <si>
    <t>TTSAX2221019PNS</t>
  </si>
  <si>
    <t>PSO-L2-W029</t>
  </si>
  <si>
    <t>DHARS</t>
  </si>
  <si>
    <t>ANG SOO HUI</t>
  </si>
  <si>
    <t>TABLET [TAB 4]</t>
  </si>
  <si>
    <t>903PC221015</t>
  </si>
  <si>
    <t>PW01F47X</t>
  </si>
  <si>
    <t>51036437 /2022</t>
  </si>
  <si>
    <t>TTSAX2221015PNS</t>
  </si>
  <si>
    <t>PSO-L2-W032</t>
  </si>
  <si>
    <t>JULIA</t>
  </si>
  <si>
    <t>WILSON NAH</t>
  </si>
  <si>
    <t>TABLET [TAB 1]</t>
  </si>
  <si>
    <t>903PC210874</t>
  </si>
  <si>
    <t>R912ZTTW</t>
  </si>
  <si>
    <t>51035315-0 / 2021</t>
  </si>
  <si>
    <t>TTSAX2210874PNS</t>
  </si>
  <si>
    <t>PSO-L2-W028</t>
  </si>
  <si>
    <t>WILSON</t>
  </si>
  <si>
    <t>LAPTOP 3</t>
  </si>
  <si>
    <t>903PC220686</t>
  </si>
  <si>
    <t>PF3889T2</t>
  </si>
  <si>
    <t>51036055 / 2022</t>
  </si>
  <si>
    <t>TTSAX2220686PNS</t>
  </si>
  <si>
    <t>PSO-L2-HOTDESK 24</t>
  </si>
  <si>
    <t>HAI YEN</t>
  </si>
  <si>
    <t>CLEMEN TEO WEI SEN</t>
  </si>
  <si>
    <t>LAPTOP 6</t>
  </si>
  <si>
    <t>TTSHNL251586</t>
  </si>
  <si>
    <t>PFM6ZKV</t>
  </si>
  <si>
    <t>TTSAX1197560PNS</t>
  </si>
  <si>
    <t>PSO-L2-W31</t>
  </si>
  <si>
    <t>CLEMEN</t>
  </si>
  <si>
    <t>LOO ZI YI</t>
  </si>
  <si>
    <t>LAPTOP 7</t>
  </si>
  <si>
    <t>TTSHNL251575</t>
  </si>
  <si>
    <t>PF5MARGG</t>
  </si>
  <si>
    <t>TTSAX1197564PNS</t>
  </si>
  <si>
    <t>PSO-L2-HOTDESK 22</t>
  </si>
  <si>
    <t>ZI YI</t>
  </si>
  <si>
    <t>NURUL SYAFIQAH BINTE JASMANI</t>
  </si>
  <si>
    <t>LAPTOP 2</t>
  </si>
  <si>
    <t>903PC221138</t>
  </si>
  <si>
    <t>PF3MNTF9</t>
  </si>
  <si>
    <t>51036767 /2022</t>
  </si>
  <si>
    <t>TTSAX2221138PNS</t>
  </si>
  <si>
    <t>PSO-L2-W030</t>
  </si>
  <si>
    <t>SYAFIQAH</t>
  </si>
  <si>
    <t>FAITH LOW CHYE PENG</t>
  </si>
  <si>
    <t>LAPTOP 8</t>
  </si>
  <si>
    <t>TTSHNL251592</t>
  </si>
  <si>
    <t>PF5M50T3</t>
  </si>
  <si>
    <t>TTSAX2197562PNS</t>
  </si>
  <si>
    <t>FAITH</t>
  </si>
  <si>
    <t>SPARE 1</t>
  </si>
  <si>
    <t xml:space="preserve">LAPTOP 5 </t>
  </si>
  <si>
    <t>903PC197561</t>
  </si>
  <si>
    <t>PC17QN8V</t>
  </si>
  <si>
    <t>TTSAX1197561PNS</t>
  </si>
  <si>
    <t>PSO-L2</t>
  </si>
  <si>
    <t>OLD LAPTOP</t>
  </si>
  <si>
    <t>SPARE 2</t>
  </si>
  <si>
    <t>TABLET [TAB 3]</t>
  </si>
  <si>
    <t>903PC221014</t>
  </si>
  <si>
    <t>PW01F47R</t>
  </si>
  <si>
    <t>41036440-0 / 2022</t>
  </si>
  <si>
    <t>TTSAX2221014PNS</t>
  </si>
  <si>
    <t>SPOIL WAITING FOR EXCHANGE</t>
  </si>
  <si>
    <t>SPARE 3</t>
  </si>
  <si>
    <t>TABLET [TAB 5]</t>
  </si>
  <si>
    <t>903PC221016</t>
  </si>
  <si>
    <t>PW0F47W</t>
  </si>
  <si>
    <t>51036444 / 2022</t>
  </si>
  <si>
    <t>TTSAX2221016PNS</t>
  </si>
  <si>
    <t>SPARE 4</t>
  </si>
  <si>
    <t>TABLET 6</t>
  </si>
  <si>
    <t>903PC221017</t>
  </si>
  <si>
    <t>PW01F47Y</t>
  </si>
  <si>
    <t>51036443 / 2022</t>
  </si>
  <si>
    <t>TTSAX2221017PNS</t>
  </si>
  <si>
    <t>SPARE 5</t>
  </si>
  <si>
    <t>LAPTOP 4</t>
  </si>
  <si>
    <t>903PC211030</t>
  </si>
  <si>
    <t>PF34CJLJ</t>
  </si>
  <si>
    <t>51035765 /2021</t>
  </si>
  <si>
    <t>TTSAX2211030PNS</t>
  </si>
  <si>
    <t>EPSON SCANNER DS-870</t>
  </si>
  <si>
    <t>X5XV000544</t>
  </si>
  <si>
    <t>PSO-L3-W033</t>
  </si>
  <si>
    <t>EPSON 870 - 1</t>
  </si>
  <si>
    <t>X5XV000703</t>
  </si>
  <si>
    <t>PSO-L3-W029</t>
  </si>
  <si>
    <t>EPSON 870 - 2</t>
  </si>
  <si>
    <t>WENT TO ED ON 24/06/2026</t>
  </si>
  <si>
    <t>X5XV000781</t>
  </si>
  <si>
    <t>EPSON 870 - 3</t>
  </si>
  <si>
    <t>X5XV000468</t>
  </si>
  <si>
    <t>PSO-L3-W024</t>
  </si>
  <si>
    <t>EPSON 870 - 4</t>
  </si>
  <si>
    <t>X5XV000673</t>
  </si>
  <si>
    <t>EPSON 870 - 5</t>
  </si>
  <si>
    <t>SPOILED</t>
  </si>
  <si>
    <t>X5XV000757</t>
  </si>
  <si>
    <t>PSO-L2-W031</t>
  </si>
  <si>
    <t>EPSON 870 - 6</t>
  </si>
  <si>
    <t>SPOIL</t>
  </si>
  <si>
    <t>EPSON 870 - 7</t>
  </si>
  <si>
    <t>X5XV000772</t>
  </si>
  <si>
    <t>PSO-L2-W033</t>
  </si>
  <si>
    <t>EPSON 870 - 8</t>
  </si>
  <si>
    <t>SINGNATURE PAD</t>
  </si>
  <si>
    <t>TF-LBK-463-HSB-R</t>
  </si>
  <si>
    <t>TFLBK463HL20A435</t>
  </si>
  <si>
    <t>TFLBK463HL20A436</t>
  </si>
  <si>
    <t>TFLBK463HL20A438</t>
  </si>
  <si>
    <t>TFLBK463HL20A439</t>
  </si>
  <si>
    <t>TFLBK463HL20A440</t>
  </si>
  <si>
    <t>TFLBK463HL20A441</t>
  </si>
  <si>
    <t>TFLBK463HL20A442</t>
  </si>
  <si>
    <t>TFLBK463HL20A443</t>
  </si>
  <si>
    <t>TFLBK463HL20A444</t>
  </si>
  <si>
    <t>TFLBK463HL20A445</t>
  </si>
  <si>
    <t>MONITOR: 9</t>
  </si>
  <si>
    <t>DIRTY LAPTOP X2 WILL BE UNDER PEI XIN</t>
  </si>
  <si>
    <t>Cost Centre T3100057/ T6100057</t>
  </si>
  <si>
    <t>ITD Tag No.</t>
  </si>
  <si>
    <t>NCID Inflight</t>
  </si>
  <si>
    <t>TTSHNL250799</t>
  </si>
  <si>
    <t>PC17QPAH</t>
  </si>
  <si>
    <t>51031189-0/2019</t>
  </si>
  <si>
    <t>TTSAX1197568PNS</t>
  </si>
  <si>
    <t xml:space="preserve">NCID AO Back Office </t>
  </si>
  <si>
    <t>Y</t>
  </si>
  <si>
    <t>781JRZ2</t>
  </si>
  <si>
    <t>51029016-0/2019</t>
  </si>
  <si>
    <t>TTSTWB195332PWC</t>
  </si>
  <si>
    <t>AO Counter 1</t>
  </si>
  <si>
    <t>AO C1</t>
  </si>
  <si>
    <t>TTSHWL250855</t>
  </si>
  <si>
    <t>78NLRZ2</t>
  </si>
  <si>
    <t>51029020-0/2019</t>
  </si>
  <si>
    <t>TTSTWB195336PWC</t>
  </si>
  <si>
    <t>AO Counter 2</t>
  </si>
  <si>
    <t>AO C2</t>
  </si>
  <si>
    <t>78MCRZ2</t>
  </si>
  <si>
    <t>51029014-0/2019</t>
  </si>
  <si>
    <t>TTSTWB195330PWC</t>
  </si>
  <si>
    <t>AO Counter 3</t>
  </si>
  <si>
    <t>AO C3</t>
  </si>
  <si>
    <t>GM0JT9RZ</t>
  </si>
  <si>
    <t>51041475 /2024</t>
  </si>
  <si>
    <t>TTSTWB195329PWC</t>
  </si>
  <si>
    <t>AO Counter 4</t>
  </si>
  <si>
    <t>AO C4</t>
  </si>
  <si>
    <t>ThinkCentre M70Q</t>
  </si>
  <si>
    <t>S</t>
  </si>
  <si>
    <t>78MLRZ2</t>
  </si>
  <si>
    <t>51029015-0/2019</t>
  </si>
  <si>
    <t>TTSTWB195331PWC</t>
  </si>
  <si>
    <t>AO Counter 5</t>
  </si>
  <si>
    <t>AO C5</t>
  </si>
  <si>
    <t>77YDRZ2</t>
  </si>
  <si>
    <t>51029023-0/2019</t>
  </si>
  <si>
    <t>TTSTWB195339PWC</t>
  </si>
  <si>
    <t>AO Back counter</t>
  </si>
  <si>
    <t>AO BC</t>
  </si>
  <si>
    <t>77TFRZ2</t>
  </si>
  <si>
    <t>51029012-0/2019</t>
  </si>
  <si>
    <t>TTSTWB195328PWS</t>
  </si>
  <si>
    <t>AO Safe room</t>
  </si>
  <si>
    <t>AO SR</t>
  </si>
  <si>
    <t>782JRZ2</t>
  </si>
  <si>
    <t>51029024-0/2019</t>
  </si>
  <si>
    <t>TTSTWB195340PWS</t>
  </si>
  <si>
    <t>AO Back office</t>
  </si>
  <si>
    <t>AO BO</t>
  </si>
  <si>
    <t>DTVPYSG004825044397600</t>
  </si>
  <si>
    <t>52002757-0/2018</t>
  </si>
  <si>
    <t>TTSTWB196573PWC</t>
  </si>
  <si>
    <t>NCID Counter 1</t>
  </si>
  <si>
    <t>NCID C1</t>
  </si>
  <si>
    <t>DTVPYSG004825044879600</t>
  </si>
  <si>
    <t>52002792-0/2018</t>
  </si>
  <si>
    <t>TTSNCI181664PWS</t>
  </si>
  <si>
    <t>NCID Counter 2</t>
  </si>
  <si>
    <t>NCID C2</t>
  </si>
  <si>
    <t>PF19DRXN</t>
  </si>
  <si>
    <t>51024489 - 0/2018</t>
  </si>
  <si>
    <t>LOAN-TTSH-313</t>
  </si>
  <si>
    <t>313 - AO DIRTY LAPTOP</t>
  </si>
  <si>
    <t>Dirty laptop LENOVO E480 20KN0043SG
I5-8250U,8GB,1TB HDD,W10P</t>
  </si>
  <si>
    <t>T3080010 CERPR # 18308739</t>
  </si>
  <si>
    <t>PF19E4U4</t>
  </si>
  <si>
    <t>51024488-0/2018</t>
  </si>
  <si>
    <t>LOAN-TTSH-316</t>
  </si>
  <si>
    <t>NCID AO Back counter</t>
  </si>
  <si>
    <t>PC1A0G83</t>
  </si>
  <si>
    <t>51031246</t>
  </si>
  <si>
    <t>TTSAX2197912PNS</t>
  </si>
  <si>
    <t>AO</t>
  </si>
  <si>
    <t>FC11</t>
  </si>
  <si>
    <r>
      <rPr>
        <sz val="11"/>
        <rFont val="Calibri"/>
        <family val="2"/>
        <scheme val="minor"/>
      </rPr>
      <t xml:space="preserve">Standby for BCA </t>
    </r>
    <r>
      <rPr>
        <sz val="11"/>
        <color rgb="FFFF0000"/>
        <rFont val="Calibri"/>
        <family val="2"/>
        <scheme val="minor"/>
      </rPr>
      <t>- no finance asset tag</t>
    </r>
  </si>
  <si>
    <t>TTSHNL250757</t>
  </si>
  <si>
    <t>NXVBNSG00264404DDA3400</t>
  </si>
  <si>
    <t>51021552-0/2017</t>
  </si>
  <si>
    <t>TTSAX1196841PNS</t>
  </si>
  <si>
    <t>FC09</t>
  </si>
  <si>
    <t xml:space="preserve">Standby for BCA </t>
  </si>
  <si>
    <t>PW01F47S</t>
  </si>
  <si>
    <t>51036442 / 2022</t>
  </si>
  <si>
    <t>TTSAX2221022PNS</t>
  </si>
  <si>
    <t>AO TAB 2</t>
  </si>
  <si>
    <t>PW01F47Q</t>
  </si>
  <si>
    <t>51036438-0/2022</t>
  </si>
  <si>
    <t>TTSAX2221021PNS</t>
  </si>
  <si>
    <t>AO TAB 1</t>
  </si>
  <si>
    <t xml:space="preserve">TTSH ADMISSION OFFICE </t>
  </si>
  <si>
    <t xml:space="preserve">EPSON DOCUMENT SCANNER </t>
  </si>
  <si>
    <t>X5XV000716</t>
  </si>
  <si>
    <t xml:space="preserve">EPSON </t>
  </si>
  <si>
    <t>DS-870</t>
  </si>
  <si>
    <t>NA (NOT FIXED ASSET)</t>
  </si>
  <si>
    <t>X5XV000530</t>
  </si>
  <si>
    <t>X5XV000420</t>
  </si>
  <si>
    <t>TOPAZ SINGNATURE PAD</t>
  </si>
  <si>
    <t>TFLBK463HL19J9080</t>
  </si>
  <si>
    <t>TOPAZ</t>
  </si>
  <si>
    <t>TFLBK463HL19J9077</t>
  </si>
  <si>
    <t>TFLBK463HL19J9078</t>
  </si>
  <si>
    <t>TFLBK463HL19J9081</t>
  </si>
  <si>
    <t>TFLBK463HL20A291</t>
  </si>
  <si>
    <t>TFLBK463HL20A446</t>
  </si>
  <si>
    <t>X5XV000592</t>
  </si>
  <si>
    <t>X5XV000534</t>
  </si>
  <si>
    <t>TFLBK463HL19J9082</t>
  </si>
  <si>
    <t>TFLBK463HL20A309</t>
  </si>
  <si>
    <t>TFLBK463HL19J9079</t>
  </si>
  <si>
    <t>2026-01</t>
  </si>
  <si>
    <t>U6EZ000868 </t>
  </si>
  <si>
    <t>DS-860</t>
  </si>
  <si>
    <t>Counter 1</t>
  </si>
  <si>
    <t>09.07.2026</t>
  </si>
  <si>
    <t>2026-02</t>
  </si>
  <si>
    <t>TFLBK463HH10D1197</t>
  </si>
  <si>
    <t>2026-03</t>
  </si>
  <si>
    <t>U6EZ001248</t>
  </si>
  <si>
    <t>Counter 2</t>
  </si>
  <si>
    <t>2026-04</t>
  </si>
  <si>
    <t>TFLBK463HH10D1241</t>
  </si>
  <si>
    <t>2026-05</t>
  </si>
  <si>
    <t>U6EZ001271</t>
  </si>
  <si>
    <t>Counter 3</t>
  </si>
  <si>
    <t>2026-06</t>
  </si>
  <si>
    <t>TFLBK463HL15A2541</t>
  </si>
  <si>
    <t>2026-07</t>
  </si>
  <si>
    <t>Counter 4</t>
  </si>
  <si>
    <t>2026-08</t>
  </si>
  <si>
    <t>TFLBK463HH10D1199</t>
  </si>
  <si>
    <t>2026-09</t>
  </si>
  <si>
    <t>U6EZ000730</t>
  </si>
  <si>
    <t>Counter 5</t>
  </si>
  <si>
    <t>2026-10</t>
  </si>
  <si>
    <t>TFLBK463HL15A2558</t>
  </si>
  <si>
    <t>2026-11</t>
  </si>
  <si>
    <t>XSXV00530</t>
  </si>
  <si>
    <t>AO BACKEND</t>
  </si>
  <si>
    <t>2026-12</t>
  </si>
  <si>
    <t>2026-13</t>
  </si>
  <si>
    <t>2026-14</t>
  </si>
  <si>
    <t>2026-15</t>
  </si>
  <si>
    <t>2026-16</t>
  </si>
  <si>
    <t>2026-17</t>
  </si>
  <si>
    <t>Cost Centre</t>
  </si>
  <si>
    <t>Wee Geik Siau</t>
  </si>
  <si>
    <t>TTSHPC230413</t>
  </si>
  <si>
    <t>PW05RASZ</t>
  </si>
  <si>
    <t>51038942/2023</t>
  </si>
  <si>
    <t>TTSAX2197563PNS</t>
  </si>
  <si>
    <t xml:space="preserve">White Cupboard  </t>
  </si>
  <si>
    <t>Geik Siau laptop</t>
  </si>
  <si>
    <t>07.08.2024</t>
  </si>
  <si>
    <t>Lenovo Thinkpad Gen 3</t>
  </si>
  <si>
    <t>T3090030 Nursing Service bought it CERPR - 2202432651</t>
  </si>
  <si>
    <t xml:space="preserve">Common user  </t>
  </si>
  <si>
    <t>903PC221375</t>
  </si>
  <si>
    <t>PC2HB3S9</t>
  </si>
  <si>
    <t>51037557/2022</t>
  </si>
  <si>
    <t>TTSEDB221375PWS</t>
  </si>
  <si>
    <t>Counter 12A</t>
  </si>
  <si>
    <t>EDFC C12A</t>
  </si>
  <si>
    <t>29.08.2023</t>
  </si>
  <si>
    <t>LENOVO M70Q</t>
  </si>
  <si>
    <t>903PC220880</t>
  </si>
  <si>
    <t>PC2CENDD</t>
  </si>
  <si>
    <t>51036609/2022</t>
  </si>
  <si>
    <t>TTSEDB220880PWS</t>
  </si>
  <si>
    <t>Counter 12B</t>
  </si>
  <si>
    <t>EDFC C12B</t>
  </si>
  <si>
    <t>Replacement PC</t>
  </si>
  <si>
    <t>903PC197819</t>
  </si>
  <si>
    <t>PF1Y9WB4</t>
  </si>
  <si>
    <t>51081552-0/2019</t>
  </si>
  <si>
    <t>TTSEDB197819PNS</t>
  </si>
  <si>
    <t>Counter 12C</t>
  </si>
  <si>
    <t>EDFC C12C</t>
  </si>
  <si>
    <r>
      <t>FINANCE ASSET TAG NUMBER IS UNCLEAR DUE TO INK WEAR OFF.
IT COULD BE 510</t>
    </r>
    <r>
      <rPr>
        <b/>
        <sz val="11"/>
        <color rgb="FFFF0000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1552-0/2019 OR 510</t>
    </r>
    <r>
      <rPr>
        <b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1552-0/2019</t>
    </r>
  </si>
  <si>
    <t>Farah (Admin use)</t>
  </si>
  <si>
    <t>903PC197229</t>
  </si>
  <si>
    <t>PF1YDJYW</t>
  </si>
  <si>
    <t>51031452-0/2019</t>
  </si>
  <si>
    <t>TTSAX2197229PNS</t>
  </si>
  <si>
    <t>EDFC spare laptop</t>
  </si>
  <si>
    <t>EDFC cabinet</t>
  </si>
  <si>
    <t>No charger (missing from room 15) - used to place laptop at room 15 for bedside FC</t>
  </si>
  <si>
    <t>Place at ED Counter + Follow up TDR</t>
  </si>
  <si>
    <t>903PC197095</t>
  </si>
  <si>
    <t>DTVRFSG037933045D33000</t>
  </si>
  <si>
    <t>51026258-0/2019</t>
  </si>
  <si>
    <t>TTSTWB197095PWC</t>
  </si>
  <si>
    <t>EDFC C19B</t>
  </si>
  <si>
    <t>No longer at counter 19B,  counter 19B surrender to ED ops on 25th Oct 2024. CPU in EDFC cabinet.</t>
  </si>
  <si>
    <t>PF198DOE</t>
  </si>
  <si>
    <t>51024491-0/2018</t>
  </si>
  <si>
    <t>LOAN-TTSH-314</t>
  </si>
  <si>
    <t>Dirty laptop - Upgraded</t>
  </si>
  <si>
    <t>Common user(Bed side counselling)</t>
  </si>
  <si>
    <t>903PC210876</t>
  </si>
  <si>
    <t>R912ZTTY</t>
  </si>
  <si>
    <t>51035317/2021</t>
  </si>
  <si>
    <t>TTSAX2210876PNS(12A)</t>
  </si>
  <si>
    <t>EDFC tablet</t>
  </si>
  <si>
    <t>THINKPAD X12 Detachable Gen 1</t>
  </si>
  <si>
    <t>Passed but not updated in TDR list</t>
  </si>
  <si>
    <t>Common user(Bed Side counselling)</t>
  </si>
  <si>
    <t>903PC210875</t>
  </si>
  <si>
    <t>R912ZTTX</t>
  </si>
  <si>
    <t>51035316/2021</t>
  </si>
  <si>
    <t>TTSAX2210876PNS</t>
  </si>
  <si>
    <t>IF TABLET 2</t>
  </si>
  <si>
    <t>Printer</t>
  </si>
  <si>
    <t>CNBRQD40YL</t>
  </si>
  <si>
    <t>TTSNCI190133PPC</t>
  </si>
  <si>
    <t>Counter 12A/B</t>
  </si>
  <si>
    <t>Hp Printer</t>
  </si>
  <si>
    <t xml:space="preserve">Laser Jet Enterprise M611. Network printer. ITD will print ITD Tag. </t>
  </si>
  <si>
    <t>Printer/Photocopier</t>
  </si>
  <si>
    <t>E79065A3N221136</t>
  </si>
  <si>
    <t>Counter 12B/C</t>
  </si>
  <si>
    <t>Brother colour printer</t>
  </si>
  <si>
    <t>BROTHER MFC-L3770CDW. 
Since this is own asset, ITD will not help to print ITD Tag</t>
  </si>
  <si>
    <t>BCA Printer</t>
  </si>
  <si>
    <t>903PR220174</t>
  </si>
  <si>
    <t>PHFXG12918</t>
  </si>
  <si>
    <t>HP73A05B</t>
  </si>
  <si>
    <t>BCA printer</t>
  </si>
  <si>
    <t>HP Laser jet Pro M404dn</t>
  </si>
  <si>
    <t>Nets Machine</t>
  </si>
  <si>
    <t>[222837303231111227208782]</t>
  </si>
  <si>
    <t>Upos 12A</t>
  </si>
  <si>
    <t>TID - 87154002/51539719</t>
  </si>
  <si>
    <t>[222837303231111227209076]</t>
  </si>
  <si>
    <t>Upos 12B</t>
  </si>
  <si>
    <t>TID-87154001/51539718</t>
  </si>
  <si>
    <t>[222837303231111227208528]</t>
  </si>
  <si>
    <t>Upos 12C</t>
  </si>
  <si>
    <t>TID- 87154004/51539721</t>
  </si>
  <si>
    <t>Topaz Pad</t>
  </si>
  <si>
    <t>U04447</t>
  </si>
  <si>
    <t>TFLBK463HL15A2548</t>
  </si>
  <si>
    <t>76000494-169/0000</t>
  </si>
  <si>
    <t>Topaz 12A</t>
  </si>
  <si>
    <t>TFLBK463HL20A296</t>
  </si>
  <si>
    <t>Topaz 12B</t>
  </si>
  <si>
    <t>Topaz 12C</t>
  </si>
  <si>
    <t>Spoiled</t>
  </si>
  <si>
    <t>DOCUMENT SCANNER DS-870</t>
  </si>
  <si>
    <t>X5XV000591</t>
  </si>
  <si>
    <t>Epson DS870</t>
  </si>
  <si>
    <t>07.07.2022</t>
  </si>
  <si>
    <t>T3100057.</t>
  </si>
  <si>
    <t>Added into asset list
T3100057.</t>
  </si>
  <si>
    <t>U6EZ001450</t>
  </si>
  <si>
    <t>Epson DS860</t>
  </si>
  <si>
    <t>Added into asset list
T3100057.
Not in use (from counter 19B)</t>
  </si>
  <si>
    <t>U6EZ002116</t>
  </si>
  <si>
    <t xml:space="preserve">Added into asset list
T3100057.
Not in use </t>
  </si>
  <si>
    <t>Last user</t>
  </si>
  <si>
    <t>Computer Name</t>
  </si>
  <si>
    <t>EJR/Incident No. (If any)</t>
  </si>
  <si>
    <t xml:space="preserve">Serena Guo </t>
  </si>
  <si>
    <t>903PC196844</t>
  </si>
  <si>
    <t>PCOBMXXV</t>
  </si>
  <si>
    <t>51020712-0/2016</t>
  </si>
  <si>
    <t>TTSAX1196844PNS</t>
  </si>
  <si>
    <t>EJR/TTSH/2020/86042-01</t>
  </si>
  <si>
    <t>Stockpile replacement on 28/08/2020 - 903PC202770</t>
  </si>
  <si>
    <t>Asha D/O Vijayan</t>
  </si>
  <si>
    <t>903PC170385</t>
  </si>
  <si>
    <t>R7X00312</t>
  </si>
  <si>
    <t>51022327-0/2017</t>
  </si>
  <si>
    <t>TTSAX1170385PNS</t>
  </si>
  <si>
    <t>EJR/TTSH/2021/05897-01</t>
  </si>
  <si>
    <t>Stockpile replacement on 15/11/2021 - 903PC211030</t>
  </si>
  <si>
    <t>LIFEBOOK T936</t>
  </si>
  <si>
    <t>OFFICE</t>
  </si>
  <si>
    <t>Tablet(Laptop)</t>
  </si>
  <si>
    <t>903PC170387</t>
  </si>
  <si>
    <t>R7X00314</t>
  </si>
  <si>
    <t>51022329-0/2017</t>
  </si>
  <si>
    <t>TTSAX1198131PNS</t>
  </si>
  <si>
    <t>FUJITSU01</t>
  </si>
  <si>
    <t>L2-E-W065</t>
  </si>
  <si>
    <t>Cindy</t>
  </si>
  <si>
    <t>903PC170388</t>
  </si>
  <si>
    <t>R7X00318</t>
  </si>
  <si>
    <t>51022330-0/2017</t>
  </si>
  <si>
    <t>TTSAX1170388PNS</t>
  </si>
  <si>
    <t>FUJITSU02</t>
  </si>
  <si>
    <t>Siti Fairose (Ayu)</t>
  </si>
  <si>
    <t>903PC170386</t>
  </si>
  <si>
    <t>R7X00313</t>
  </si>
  <si>
    <t>51022328-0/2017</t>
  </si>
  <si>
    <t>TTSAX1198324PNS</t>
  </si>
  <si>
    <t>FUJITSU LAPTOP, CONDEMN ON 31.05.2022</t>
  </si>
  <si>
    <t>903PC180419</t>
  </si>
  <si>
    <t>DTVQ2SG011811025353000</t>
  </si>
  <si>
    <t>51023196-0/2018</t>
  </si>
  <si>
    <t>TTSEDB196340PWC</t>
  </si>
  <si>
    <t xml:space="preserve">IN1112268 </t>
  </si>
  <si>
    <t>EDFC C12B CONDEMN 28.06.2022</t>
  </si>
  <si>
    <t>ASSIGN SEQ #</t>
  </si>
  <si>
    <t>SERIAL #</t>
  </si>
  <si>
    <t>MODEL</t>
  </si>
  <si>
    <t>LOAN-TTSH-ASSIGN SEQ #</t>
  </si>
  <si>
    <t>LOCATION</t>
  </si>
  <si>
    <t>CONTACT USERS</t>
  </si>
  <si>
    <t>Lenovo Thinkpad E480</t>
  </si>
  <si>
    <t>TTSH LEVEL 1 ADMISSION OFFICE</t>
  </si>
  <si>
    <t>AO NCID</t>
  </si>
  <si>
    <t>PF198D0E</t>
  </si>
  <si>
    <t>EDFC COUNTER 12</t>
  </si>
  <si>
    <t>GEIK SIAU/ KHAIREE 
6357 1691</t>
  </si>
  <si>
    <t>ANNEX 1, LEVEL 5</t>
  </si>
  <si>
    <t>PEI XIN 6357 3280</t>
  </si>
  <si>
    <t>01.09.2025</t>
  </si>
  <si>
    <t>N - Lenovo E480 CERPR 18308739</t>
  </si>
  <si>
    <t>NCID LEVEL 1, ADMISSION OFFICE --&gt; OR ANNEX 1?</t>
  </si>
  <si>
    <t>PF19E2HH</t>
  </si>
  <si>
    <t>29.08.2025</t>
  </si>
  <si>
    <t>Acer TRAVELMATE P249M G-76RZ</t>
  </si>
  <si>
    <t>N - Acer TMP 249 (Specs i7-7500U 8gb 1TB W10P) CERPR 18309827 (NXVEASG0028300001E0201)</t>
  </si>
  <si>
    <t>PF-19DRXN</t>
  </si>
  <si>
    <t>PF-198DOE</t>
  </si>
  <si>
    <t>Khairee EDFC</t>
  </si>
  <si>
    <t>PF-19DZX5</t>
  </si>
  <si>
    <t>Inflight FC</t>
  </si>
  <si>
    <t>PF-19E4U4</t>
  </si>
  <si>
    <t>NCID</t>
  </si>
  <si>
    <t>PF00VJ0D</t>
  </si>
  <si>
    <t>Lenovo Thinkpad X240</t>
  </si>
  <si>
    <t>NOT ON FA LIST</t>
  </si>
  <si>
    <t xml:space="preserve">Acer Travelmate P249 </t>
  </si>
  <si>
    <t>Inflight sharing</t>
  </si>
  <si>
    <t>51022125</t>
  </si>
  <si>
    <t>15/06/2017</t>
  </si>
  <si>
    <t>PB03G8YR</t>
  </si>
  <si>
    <t>Lenovo Thinkpad X250</t>
  </si>
  <si>
    <t>ED sharing</t>
  </si>
  <si>
    <t>903PC196841</t>
  </si>
  <si>
    <t>Acer TMP248</t>
  </si>
  <si>
    <t>AO sharing</t>
  </si>
  <si>
    <t>51021552</t>
  </si>
  <si>
    <t>06/02/2017</t>
  </si>
  <si>
    <t>Co. Code</t>
  </si>
  <si>
    <t>Bus Area</t>
  </si>
  <si>
    <t>Asset Class</t>
  </si>
  <si>
    <t>Responsible Cost Centre</t>
  </si>
  <si>
    <t>Asset Tag No.</t>
  </si>
  <si>
    <t>Asset Sub No.</t>
  </si>
  <si>
    <t>Inventory No.</t>
  </si>
  <si>
    <t>Serial No.</t>
  </si>
  <si>
    <t>Asset Description</t>
  </si>
  <si>
    <t>Location1</t>
  </si>
  <si>
    <t>Room</t>
  </si>
  <si>
    <t>Location2</t>
  </si>
  <si>
    <t>Vendor Name</t>
  </si>
  <si>
    <t>Purchase Req. No.</t>
  </si>
  <si>
    <t>Date of Acqn</t>
  </si>
  <si>
    <t>Useful Life (Yr)</t>
  </si>
  <si>
    <t>Useful Life (Mth)</t>
  </si>
  <si>
    <t>Remaining Life (Yr)</t>
  </si>
  <si>
    <t>Remaining Life (Mth)</t>
  </si>
  <si>
    <t>Quantity</t>
  </si>
  <si>
    <t>Cost</t>
  </si>
  <si>
    <t>Accumulated Deprn</t>
  </si>
  <si>
    <t>Netbook Value</t>
  </si>
  <si>
    <t>PO</t>
  </si>
  <si>
    <t>T1SG</t>
  </si>
  <si>
    <t>17</t>
  </si>
  <si>
    <t/>
  </si>
  <si>
    <t>17000033</t>
  </si>
  <si>
    <t>0</t>
  </si>
  <si>
    <t>2004/0684-0000</t>
  </si>
  <si>
    <t>AnA WORKS TO EXISTING 5 COUNTERS AT L1 AO</t>
  </si>
  <si>
    <t>01/06/2004</t>
  </si>
  <si>
    <t>10</t>
  </si>
  <si>
    <t>5,300.00</t>
  </si>
  <si>
    <t>-5,299.00</t>
  </si>
  <si>
    <t>1.00</t>
  </si>
  <si>
    <t>45100086 92000/02/03</t>
  </si>
  <si>
    <t>17001262</t>
  </si>
  <si>
    <t>DesignnBuild New Glass RmnFurniture-Admission Offi CERPR   16237776</t>
  </si>
  <si>
    <t>Inn Interior Enterprise Pte Lt</t>
  </si>
  <si>
    <t>18/08/2016</t>
  </si>
  <si>
    <t>2</t>
  </si>
  <si>
    <t>18,500.00</t>
  </si>
  <si>
    <t>-15,570.84</t>
  </si>
  <si>
    <t>2,929.16</t>
  </si>
  <si>
    <t>18</t>
  </si>
  <si>
    <t>18000375</t>
  </si>
  <si>
    <t>Double leaf cowbow door c/w heavy duty accessories CERPR 18314883</t>
  </si>
  <si>
    <t>BINJAI INTERIOR DESIGN PTE LTD</t>
  </si>
  <si>
    <t>19/12/2018</t>
  </si>
  <si>
    <t>4</t>
  </si>
  <si>
    <t>8</t>
  </si>
  <si>
    <t>1,177.00</t>
  </si>
  <si>
    <t>-696.40</t>
  </si>
  <si>
    <t>480.60</t>
  </si>
  <si>
    <t>18000430</t>
  </si>
  <si>
    <t>Widen Glass Door of Admissions Office at L1 NCID CERPR- 20359991</t>
  </si>
  <si>
    <t>ASSA ABLOY ENTRANCE SYSTEMS</t>
  </si>
  <si>
    <t>20359991</t>
  </si>
  <si>
    <t>30/10/2020</t>
  </si>
  <si>
    <t>6</t>
  </si>
  <si>
    <t>-480.61</t>
  </si>
  <si>
    <t>696.39</t>
  </si>
  <si>
    <t>18000434</t>
  </si>
  <si>
    <t>Design and Build Works at NCID Admission Office CERPR-20360034 A water point</t>
  </si>
  <si>
    <t>NKH BUILDING SERVICES PTE. LTD</t>
  </si>
  <si>
    <t>20360034</t>
  </si>
  <si>
    <t>06/01/2021</t>
  </si>
  <si>
    <t>9</t>
  </si>
  <si>
    <t>4,194.40</t>
  </si>
  <si>
    <t>-1,607.85</t>
  </si>
  <si>
    <t>2,586.55</t>
  </si>
  <si>
    <t>21</t>
  </si>
  <si>
    <t>21000204</t>
  </si>
  <si>
    <t>2001/1036-0000</t>
  </si>
  <si>
    <t>MAIN DISPLAY 5 PANELS  TICKET MACHINE</t>
  </si>
  <si>
    <t>24/10/2001</t>
  </si>
  <si>
    <t>6,650.00</t>
  </si>
  <si>
    <t>-6,649.00</t>
  </si>
  <si>
    <t>45045650 DOC 6031040</t>
  </si>
  <si>
    <t>21000511</t>
  </si>
  <si>
    <t>CCTV SYSTEM FOR ADMISSION OFFICE</t>
  </si>
  <si>
    <t>Alpha Enterprise Company</t>
  </si>
  <si>
    <t>16/03/2007</t>
  </si>
  <si>
    <t>5,670.00</t>
  </si>
  <si>
    <t>-5,669.00</t>
  </si>
  <si>
    <t>CER0616348 PO4510055734</t>
  </si>
  <si>
    <t>21001599</t>
  </si>
  <si>
    <t>QUEUE MANAGEMENT SYSTEM AT ADMISSION OFFICE CERPR 14188988</t>
  </si>
  <si>
    <t>ATT SYSTEMS (S'PORE) PTE LTD</t>
  </si>
  <si>
    <t>18/11/2014</t>
  </si>
  <si>
    <t>23,230.00</t>
  </si>
  <si>
    <t>-23,229.00</t>
  </si>
  <si>
    <t>21001751</t>
  </si>
  <si>
    <t>N/A</t>
  </si>
  <si>
    <t>Supply n Install CCTV Syst at L1 Admission Office CERPR   16239483</t>
  </si>
  <si>
    <t>Securex GS Pte. Ltd.</t>
  </si>
  <si>
    <t>18/07/2016</t>
  </si>
  <si>
    <t>3</t>
  </si>
  <si>
    <t>1,830.00</t>
  </si>
  <si>
    <t>-1,525.00</t>
  </si>
  <si>
    <t>305.00</t>
  </si>
  <si>
    <t>21001752</t>
  </si>
  <si>
    <t>SupplynInstall Card Access Syst-L1 Admission Offic CERPR   16239462</t>
  </si>
  <si>
    <t>3,100.00</t>
  </si>
  <si>
    <t>-2,583.33</t>
  </si>
  <si>
    <t>516.67</t>
  </si>
  <si>
    <t>21001910</t>
  </si>
  <si>
    <t>Info Kiosk n Digital Signage Main Display (AnE) CERPR   16252352</t>
  </si>
  <si>
    <t>AIT Technologies Pte. Ltd.</t>
  </si>
  <si>
    <t>30/11/2017</t>
  </si>
  <si>
    <t>14,720.00</t>
  </si>
  <si>
    <t>-10,672.00</t>
  </si>
  <si>
    <t>4,048.00</t>
  </si>
  <si>
    <t>22</t>
  </si>
  <si>
    <t>22001841</t>
  </si>
  <si>
    <t>Add CCTV Syst at NCID-Admission office CERPR20370225</t>
  </si>
  <si>
    <t>ST ENGINEERING URBAN SOLUTIONS</t>
  </si>
  <si>
    <t>20370225</t>
  </si>
  <si>
    <t>28/09/2021</t>
  </si>
  <si>
    <t>7</t>
  </si>
  <si>
    <t>5</t>
  </si>
  <si>
    <t>7,016.82</t>
  </si>
  <si>
    <t>-2,221.99</t>
  </si>
  <si>
    <t>4,794.83</t>
  </si>
  <si>
    <t>33</t>
  </si>
  <si>
    <t>33023949</t>
  </si>
  <si>
    <t>StyleView Laptop Cart CERPR 14193179</t>
  </si>
  <si>
    <t>MOBILE WORKFORCE SOLUTION PTE.</t>
  </si>
  <si>
    <t>09/10/2014</t>
  </si>
  <si>
    <t>1,875.00</t>
  </si>
  <si>
    <t>-1,874.00</t>
  </si>
  <si>
    <t>51</t>
  </si>
  <si>
    <t>51014870</t>
  </si>
  <si>
    <t>eForms database disk storage CERPR 13155190</t>
  </si>
  <si>
    <t>Hitachi Vantara Pte. Limited</t>
  </si>
  <si>
    <t>12/08/2013</t>
  </si>
  <si>
    <t>51,000.00</t>
  </si>
  <si>
    <t>-50,999.00</t>
  </si>
  <si>
    <t>51020526</t>
  </si>
  <si>
    <t>000000036744454553</t>
  </si>
  <si>
    <t>N - Microsoft Surface Pro 4 128GB i5 4GB CERPR 16232351</t>
  </si>
  <si>
    <t>BUSINESSIT PTE LTD</t>
  </si>
  <si>
    <t>19/02/2016</t>
  </si>
  <si>
    <t>1,490.00</t>
  </si>
  <si>
    <t>-1,489.00</t>
  </si>
  <si>
    <t>Condemn</t>
  </si>
  <si>
    <t>51020708</t>
  </si>
  <si>
    <t>N - LenovoThinkpad X250 CERPR 16236835</t>
  </si>
  <si>
    <t>25/04/2016</t>
  </si>
  <si>
    <t>1,314.00</t>
  </si>
  <si>
    <t>-1,313.00</t>
  </si>
  <si>
    <t>51020709</t>
  </si>
  <si>
    <t>903PC196842</t>
  </si>
  <si>
    <t>51020710</t>
  </si>
  <si>
    <t>903PC114713</t>
  </si>
  <si>
    <t>PC0BMXYC</t>
  </si>
  <si>
    <t>51020711</t>
  </si>
  <si>
    <t>903PC196843</t>
  </si>
  <si>
    <t>51020741</t>
  </si>
  <si>
    <t>DMPRCCGEG5VV</t>
  </si>
  <si>
    <t>iPad Air 2 Wi-Fi 16GB - Gold CERPR 16239151</t>
  </si>
  <si>
    <t>SAPURA SYNERGY SINGAPORE PTE L</t>
  </si>
  <si>
    <t>30/05/2016</t>
  </si>
  <si>
    <t>520.00</t>
  </si>
  <si>
    <t>-519.00</t>
  </si>
  <si>
    <t>51020742</t>
  </si>
  <si>
    <t>DMPRCCGFG5VV</t>
  </si>
  <si>
    <t>51020743</t>
  </si>
  <si>
    <t>DMPRCBP7G5VV</t>
  </si>
  <si>
    <t>NSG00264404DDA3400</t>
  </si>
  <si>
    <t>N - Acer TravelMate P248-M CERPR 16255149 (NXVBNSG00264404DDA3400)</t>
  </si>
  <si>
    <t>Acer Computer (Singapore) Pte</t>
  </si>
  <si>
    <t>874.00</t>
  </si>
  <si>
    <t>-873.00</t>
  </si>
  <si>
    <t>4SG0047170AFF27600</t>
  </si>
  <si>
    <t>N - Acer TravelMate P249-M CERPR 17271966 (NXVD4SG0047170AFF27600)</t>
  </si>
  <si>
    <t>821.00</t>
  </si>
  <si>
    <t>-820.00</t>
  </si>
  <si>
    <t>51022327</t>
  </si>
  <si>
    <t>N - Fujitsu LIFEBOOK T936  Ultrabook CERPR 17280889 Self Funded part</t>
  </si>
  <si>
    <t>ASIAPAC TECHNOLOGY PTE. LTD.</t>
  </si>
  <si>
    <t>22/11/2017</t>
  </si>
  <si>
    <t>250.00</t>
  </si>
  <si>
    <t>-249.00</t>
  </si>
  <si>
    <t>51022328</t>
  </si>
  <si>
    <t>51022329</t>
  </si>
  <si>
    <t>51022330</t>
  </si>
  <si>
    <t>903PC196738</t>
  </si>
  <si>
    <t>PC0UDZLP</t>
  </si>
  <si>
    <t>N - Lenovo Thinkpad X270 CERPR 18295244</t>
  </si>
  <si>
    <t>CTC GLOBAL PTE. LTD.</t>
  </si>
  <si>
    <t>20/09/2018</t>
  </si>
  <si>
    <t>1,275.20</t>
  </si>
  <si>
    <t>-1,274.20</t>
  </si>
  <si>
    <t>51024132</t>
  </si>
  <si>
    <t>903PC196591</t>
  </si>
  <si>
    <t>N - Lenovo Thinkpad X270 CERPR 18303851</t>
  </si>
  <si>
    <t>02/07/2018</t>
  </si>
  <si>
    <t>1,268.00</t>
  </si>
  <si>
    <t>-1,267.00</t>
  </si>
  <si>
    <t>51024490</t>
  </si>
  <si>
    <t>03/11/2018</t>
  </si>
  <si>
    <t>1,158.00</t>
  </si>
  <si>
    <t>-1,157.00</t>
  </si>
  <si>
    <t>ASG0028300001E0201</t>
  </si>
  <si>
    <t>07/09/2018</t>
  </si>
  <si>
    <t>1,115.00</t>
  </si>
  <si>
    <t>-1,114.00</t>
  </si>
  <si>
    <t>51026258</t>
  </si>
  <si>
    <t>FSG037933045D33000</t>
  </si>
  <si>
    <t>C-Acer Veriton VN4660G w DELL 24IN FHD Monitor CER 19322352n2359 (DTVRFSG037933045D3300</t>
  </si>
  <si>
    <t>03/10/2019</t>
  </si>
  <si>
    <t>878.00</t>
  </si>
  <si>
    <t>-877.00</t>
  </si>
  <si>
    <t>51026545</t>
  </si>
  <si>
    <t>GSG0159170FA093400</t>
  </si>
  <si>
    <t>N-Acer Travelmate TMP 648-G2/G3 CERPR 19322352 NXVGGSG0159170FA093400</t>
  </si>
  <si>
    <t>10/05/2019</t>
  </si>
  <si>
    <t>986.00</t>
  </si>
  <si>
    <t>-985.00</t>
  </si>
  <si>
    <t>51026751</t>
  </si>
  <si>
    <t>903PC200050</t>
  </si>
  <si>
    <t>N-Lenovo Thinkpad X270 CERPR 19322359</t>
  </si>
  <si>
    <t>22/08/2019</t>
  </si>
  <si>
    <t>1,185.00</t>
  </si>
  <si>
    <t>-1,184.00</t>
  </si>
  <si>
    <t>51029012</t>
  </si>
  <si>
    <t>903PC195328</t>
  </si>
  <si>
    <t>C-OptiPlex 3060 Micro XCTO CERPR 19334594</t>
  </si>
  <si>
    <t>09/12/2019</t>
  </si>
  <si>
    <t>770.00</t>
  </si>
  <si>
    <t>-769.00</t>
  </si>
  <si>
    <t>51029013</t>
  </si>
  <si>
    <t>903PC195329</t>
  </si>
  <si>
    <t>785GRZ2</t>
  </si>
  <si>
    <t>51029014</t>
  </si>
  <si>
    <t>903PC195330</t>
  </si>
  <si>
    <t>51029015</t>
  </si>
  <si>
    <t>903PC195331</t>
  </si>
  <si>
    <t>51029016</t>
  </si>
  <si>
    <t>903PC195332</t>
  </si>
  <si>
    <t>51029020</t>
  </si>
  <si>
    <t>903PC195336</t>
  </si>
  <si>
    <t>51029023</t>
  </si>
  <si>
    <t>903PC195339</t>
  </si>
  <si>
    <t>51029024</t>
  </si>
  <si>
    <t>903PC195340</t>
  </si>
  <si>
    <t>51029215</t>
  </si>
  <si>
    <t>903PC197481</t>
  </si>
  <si>
    <t>51029224</t>
  </si>
  <si>
    <t>51029483</t>
  </si>
  <si>
    <t>13/06/2022</t>
  </si>
  <si>
    <t>51030984</t>
  </si>
  <si>
    <t>903PC202770</t>
  </si>
  <si>
    <t>N-DELL Latitude 5400 - Mid Size CERPR 19334594</t>
  </si>
  <si>
    <t>02/12/2020</t>
  </si>
  <si>
    <t>1,211.00</t>
  </si>
  <si>
    <t>-1,210.00</t>
  </si>
  <si>
    <t>51031178</t>
  </si>
  <si>
    <t>903PC197557</t>
  </si>
  <si>
    <t>PC17QN8R</t>
  </si>
  <si>
    <t>N-Lenovo Thinkpad X270 CERPR 19334594</t>
  </si>
  <si>
    <t>16/12/2019</t>
  </si>
  <si>
    <t>51031179</t>
  </si>
  <si>
    <t>51031181</t>
  </si>
  <si>
    <t>903PC197560</t>
  </si>
  <si>
    <t>PC17QN8K</t>
  </si>
  <si>
    <t>51031182</t>
  </si>
  <si>
    <t>51031183</t>
  </si>
  <si>
    <t>903PC197562</t>
  </si>
  <si>
    <t>PC17QN8D</t>
  </si>
  <si>
    <t>51031185</t>
  </si>
  <si>
    <t>903PC197564</t>
  </si>
  <si>
    <t>PC17QP9M</t>
  </si>
  <si>
    <t>51031186</t>
  </si>
  <si>
    <t>903PC197565</t>
  </si>
  <si>
    <t>PC17QP9L</t>
  </si>
  <si>
    <t>51031187</t>
  </si>
  <si>
    <t>51031189</t>
  </si>
  <si>
    <t>903PC197568</t>
  </si>
  <si>
    <t>51031190</t>
  </si>
  <si>
    <t>903PC197912</t>
  </si>
  <si>
    <t>N-Lenovo Thinkpad T480 CERPR 19334594</t>
  </si>
  <si>
    <t>25/01/2022</t>
  </si>
  <si>
    <t>51031451</t>
  </si>
  <si>
    <t>903PC197228</t>
  </si>
  <si>
    <t>N-Lenovo Thinkpad T490 CERPR 19334594</t>
  </si>
  <si>
    <t>1,035.00</t>
  </si>
  <si>
    <t>-1,034.00</t>
  </si>
  <si>
    <t>51031452</t>
  </si>
  <si>
    <t>51031552</t>
  </si>
  <si>
    <t>07/01/2020</t>
  </si>
  <si>
    <t>903PC198650</t>
  </si>
  <si>
    <t>PF1YBTTF</t>
  </si>
  <si>
    <t>51031882</t>
  </si>
  <si>
    <t>903PC198930</t>
  </si>
  <si>
    <t>PF1YA0XL</t>
  </si>
  <si>
    <t>51035315</t>
  </si>
  <si>
    <t>N- Lenovo Thinkpad X12 Detachable</t>
  </si>
  <si>
    <t>INFLIGHT</t>
  </si>
  <si>
    <t>21382135</t>
  </si>
  <si>
    <t>26/07/2021</t>
  </si>
  <si>
    <t>1,951.00</t>
  </si>
  <si>
    <t>-1,950.00</t>
  </si>
  <si>
    <t>51035316</t>
  </si>
  <si>
    <t>51035317</t>
  </si>
  <si>
    <t>51035765</t>
  </si>
  <si>
    <t>N - Lenovo L14 i5-10210U CERPR 21386081</t>
  </si>
  <si>
    <t>21386081</t>
  </si>
  <si>
    <t>30/10/2021</t>
  </si>
  <si>
    <t>1,041.00</t>
  </si>
  <si>
    <t>-1,040.00</t>
  </si>
  <si>
    <t>51036055</t>
  </si>
  <si>
    <t>N - Lenovo L14 CERPR 21392076</t>
  </si>
  <si>
    <t>21392076</t>
  </si>
  <si>
    <t>20/02/2023</t>
  </si>
  <si>
    <t>-925.34</t>
  </si>
  <si>
    <t>115.66</t>
  </si>
  <si>
    <t>51036436</t>
  </si>
  <si>
    <t>N-Lenovo Thinkpad X12 Detachable CERPR 21401837</t>
  </si>
  <si>
    <t>21401837</t>
  </si>
  <si>
    <t>30/05/2022</t>
  </si>
  <si>
    <t>1</t>
  </si>
  <si>
    <t>1,941.00</t>
  </si>
  <si>
    <t>-1,617.50</t>
  </si>
  <si>
    <t>323.50</t>
  </si>
  <si>
    <t>51036437</t>
  </si>
  <si>
    <t>51036438</t>
  </si>
  <si>
    <t>51036439</t>
  </si>
  <si>
    <t>TRAINING</t>
  </si>
  <si>
    <t>2,616.00</t>
  </si>
  <si>
    <t>-2,180.00</t>
  </si>
  <si>
    <t>436.00</t>
  </si>
  <si>
    <t>51036440</t>
  </si>
  <si>
    <t>51036441</t>
  </si>
  <si>
    <t>51036442</t>
  </si>
  <si>
    <t>51036443</t>
  </si>
  <si>
    <t>51036444</t>
  </si>
  <si>
    <t>PW01F47W</t>
  </si>
  <si>
    <t>51036609</t>
  </si>
  <si>
    <t>C-Lenovo Tiny Form Factor M70Q CERPR 22407091</t>
  </si>
  <si>
    <t>22407091</t>
  </si>
  <si>
    <t>18/06/2022</t>
  </si>
  <si>
    <t>767.00</t>
  </si>
  <si>
    <t>-617.86</t>
  </si>
  <si>
    <t>149.14</t>
  </si>
  <si>
    <t>51036759</t>
  </si>
  <si>
    <t>N-Lenovo Thinkpad L14 CERPR 22407091</t>
  </si>
  <si>
    <t>07/03/2023</t>
  </si>
  <si>
    <t>-838.59</t>
  </si>
  <si>
    <t>202.41</t>
  </si>
  <si>
    <t>51036767</t>
  </si>
  <si>
    <t>51037558</t>
  </si>
  <si>
    <t>C-Optiplex 5080 Micro Form Factor CERPR 22412923</t>
  </si>
  <si>
    <t>01/09/2022</t>
  </si>
  <si>
    <t>1,052.06</t>
  </si>
  <si>
    <t>-759.82</t>
  </si>
  <si>
    <t>292.24</t>
  </si>
  <si>
    <t>--</t>
  </si>
  <si>
    <t>51038521</t>
  </si>
  <si>
    <t>TTSPC230488</t>
  </si>
  <si>
    <t>N-Lenovo Thinkpad L14 Gen 2 w FHD Upg CERPR 22421332</t>
  </si>
  <si>
    <t>22421332</t>
  </si>
  <si>
    <t>08/06/2023</t>
  </si>
  <si>
    <t>1,008.00</t>
  </si>
  <si>
    <t>-476.00</t>
  </si>
  <si>
    <t>532.00</t>
  </si>
  <si>
    <t>51039982</t>
  </si>
  <si>
    <t>TTSPC231013</t>
  </si>
  <si>
    <t>N-Lenovo Thinkpad L14 Gen 3 w 16GB RAM n FHD CERPR 2202434133</t>
  </si>
  <si>
    <t>2202434133</t>
  </si>
  <si>
    <t>29/11/2023</t>
  </si>
  <si>
    <t>1,106.00</t>
  </si>
  <si>
    <t>-368.67</t>
  </si>
  <si>
    <t>737.33</t>
  </si>
  <si>
    <t>51040817</t>
  </si>
  <si>
    <t>GE VH Series 2000VA UPS Tower CERPR 2302444324</t>
  </si>
  <si>
    <t>MULTIDATA ENGINEERING PTE. LTD</t>
  </si>
  <si>
    <t>2302444324</t>
  </si>
  <si>
    <t>22/11/2023</t>
  </si>
  <si>
    <t>1,750.00</t>
  </si>
  <si>
    <t>-583.34</t>
  </si>
  <si>
    <t>1,166.66</t>
  </si>
  <si>
    <t>52</t>
  </si>
  <si>
    <t>52002757</t>
  </si>
  <si>
    <t>903PC196573</t>
  </si>
  <si>
    <t>YSG004825043979600</t>
  </si>
  <si>
    <t>C - Acer Veriton X4650G CERPR 18295226 DTVPYSG004825043979600</t>
  </si>
  <si>
    <t>01/10/2018</t>
  </si>
  <si>
    <t>698.71</t>
  </si>
  <si>
    <t>-697.71</t>
  </si>
  <si>
    <t>52002792</t>
  </si>
  <si>
    <t>903PC181664</t>
  </si>
  <si>
    <t>YSG004825044879600</t>
  </si>
  <si>
    <t>C - Acer Veriton X4650G CERPR 18295226 DTVPYSG004825044879600</t>
  </si>
  <si>
    <t>52005381</t>
  </si>
  <si>
    <t>N-Lenovo Thinkpad L14 FHD CERPR 22407083</t>
  </si>
  <si>
    <t>22407083</t>
  </si>
  <si>
    <t>12/05/2023</t>
  </si>
  <si>
    <t>1,124.28</t>
  </si>
  <si>
    <t>-562.14</t>
  </si>
  <si>
    <t>562.14</t>
  </si>
  <si>
    <t>52005450</t>
  </si>
  <si>
    <t>YR2023</t>
  </si>
  <si>
    <t>C-Lenovo Tiny Form Factor M70Q CERPR 22407083</t>
  </si>
  <si>
    <t>28/04/2023</t>
  </si>
  <si>
    <t>784.08</t>
  </si>
  <si>
    <t>-413.82</t>
  </si>
  <si>
    <t>370.26</t>
  </si>
  <si>
    <t>52005472</t>
  </si>
  <si>
    <t>52005618</t>
  </si>
  <si>
    <t>-392.04</t>
  </si>
  <si>
    <t>392.04</t>
  </si>
  <si>
    <t>52005692</t>
  </si>
  <si>
    <t>52007013</t>
  </si>
  <si>
    <t>N-Lenovo Thinkpad X12 Detachable CERPR 2302436900</t>
  </si>
  <si>
    <t>2302436900</t>
  </si>
  <si>
    <t>14/09/2023</t>
  </si>
  <si>
    <t>1,982.21</t>
  </si>
  <si>
    <t>-770.86</t>
  </si>
  <si>
    <t>1,211.35</t>
  </si>
  <si>
    <t>52007015</t>
  </si>
  <si>
    <t>52007017</t>
  </si>
  <si>
    <t>52007018</t>
  </si>
  <si>
    <t>52007019</t>
  </si>
  <si>
    <t>52007020</t>
  </si>
  <si>
    <t>52007021</t>
  </si>
  <si>
    <t>52007022</t>
  </si>
  <si>
    <t>52007024</t>
  </si>
  <si>
    <t>55</t>
  </si>
  <si>
    <t>55000233</t>
  </si>
  <si>
    <t>ECP-N-0278 SAP eForms Customisation NHG/R/021/05 Contract Service Agreement</t>
  </si>
  <si>
    <t>IBM SINGAPORE PTE LTD</t>
  </si>
  <si>
    <t>31/12/2010</t>
  </si>
  <si>
    <t>10,420.00</t>
  </si>
  <si>
    <t>-10,419.00</t>
  </si>
  <si>
    <t>55000326</t>
  </si>
  <si>
    <t>Enhancement to Financial Counselling Forms (ECP-N-0340) CER 11111622 (AUC 99000024-0)</t>
  </si>
  <si>
    <t>23/07/2012</t>
  </si>
  <si>
    <t>37,448.00</t>
  </si>
  <si>
    <t>-37,447.00</t>
  </si>
  <si>
    <t>Enhancement to Financial Counselling Forms (ECP-N-0375) CER 12124985 (AUC99000024-1)</t>
  </si>
  <si>
    <t>19,552.00</t>
  </si>
  <si>
    <t>-19,551.00</t>
  </si>
  <si>
    <t>55000371</t>
  </si>
  <si>
    <t>ECP-N-0405 Variation work for EDs FC eForms CER 12130377 (AUC 99000074-0  to 2)</t>
  </si>
  <si>
    <t>23/03/2013</t>
  </si>
  <si>
    <t>4,058.00</t>
  </si>
  <si>
    <t>-4,057.00</t>
  </si>
  <si>
    <t>55000407</t>
  </si>
  <si>
    <t>Means test workload report by ED n wards CERPR   12144192 (AUC 99000067-0)</t>
  </si>
  <si>
    <t>28/11/2013</t>
  </si>
  <si>
    <t>8,073.00</t>
  </si>
  <si>
    <t>-8,072.00</t>
  </si>
  <si>
    <t>55000501</t>
  </si>
  <si>
    <t>IHiS Manpower for EDTC eFORM Enhancement CERPR 15209537</t>
  </si>
  <si>
    <t>SYNAPXE PTE. LTD.</t>
  </si>
  <si>
    <t>21/01/2016</t>
  </si>
  <si>
    <t>1,869.00</t>
  </si>
  <si>
    <t>-1,868.00</t>
  </si>
  <si>
    <t>55000585</t>
  </si>
  <si>
    <t>IHiS Manpower - Enhancement to SAP-eFORM FC Module CERPR 16234700 Finanical Counselling-Inpatient Ad</t>
  </si>
  <si>
    <t>24/08/2016</t>
  </si>
  <si>
    <t>16,198.00</t>
  </si>
  <si>
    <t>-16,197.00</t>
  </si>
  <si>
    <t>55000600</t>
  </si>
  <si>
    <t>IHiS Manpower-Setting up of IFC Module in SAP Inflight Financial Coumselling CERPR 15207448</t>
  </si>
  <si>
    <t>28/09/2016</t>
  </si>
  <si>
    <t>39,872.00</t>
  </si>
  <si>
    <t>-39,871.00</t>
  </si>
  <si>
    <t>55000804</t>
  </si>
  <si>
    <t>IHIS Manp-SAP Report-Patient Trf to General Ward CERPR 17282362</t>
  </si>
  <si>
    <t>30/04/2018</t>
  </si>
  <si>
    <t>3,738.00</t>
  </si>
  <si>
    <t>-3,737.00</t>
  </si>
  <si>
    <t>55001036</t>
  </si>
  <si>
    <t>IHIS-IDC n Inpatient Charge Guide eForm at SAP CERPR- 20371042</t>
  </si>
  <si>
    <t>20371042</t>
  </si>
  <si>
    <t>01/03/2021</t>
  </si>
  <si>
    <t>11</t>
  </si>
  <si>
    <t>14,328.97</t>
  </si>
  <si>
    <t>-10,507.91</t>
  </si>
  <si>
    <t>3,821.06</t>
  </si>
  <si>
    <t>Creation IDC n Inpatient Charge Guide eForm at SAP CERPR 20371037</t>
  </si>
  <si>
    <t>20371037</t>
  </si>
  <si>
    <t>66,720.00</t>
  </si>
  <si>
    <t>-48,928.00</t>
  </si>
  <si>
    <t>17,792.00</t>
  </si>
  <si>
    <t>61</t>
  </si>
  <si>
    <t>61000409</t>
  </si>
  <si>
    <t>93/0343-0000</t>
  </si>
  <si>
    <t>CHUBB NIGHT SAFE S045/1</t>
  </si>
  <si>
    <t>16/06/1993</t>
  </si>
  <si>
    <t>2,350.00</t>
  </si>
  <si>
    <t>-2,350.00</t>
  </si>
  <si>
    <t>0.00</t>
  </si>
  <si>
    <t>M/0004523</t>
  </si>
  <si>
    <t>61002190</t>
  </si>
  <si>
    <t>Eagle Fire-Resistant Safes Model ES-150 CERPR 13164849</t>
  </si>
  <si>
    <t>Filedex Marketing (S) Pte Ltd</t>
  </si>
  <si>
    <t>02/09/2013</t>
  </si>
  <si>
    <t>1,852.50</t>
  </si>
  <si>
    <t>-1,851.50</t>
  </si>
  <si>
    <t>61002450</t>
  </si>
  <si>
    <t>S0137380108</t>
  </si>
  <si>
    <t>Sony PJ670 HD Handycam CERPR 16236986</t>
  </si>
  <si>
    <t>CATHAY PHOTO STORE (PTE) LTD</t>
  </si>
  <si>
    <t>15/03/2016</t>
  </si>
  <si>
    <t>1,056.00</t>
  </si>
  <si>
    <t>-1,055.00</t>
  </si>
  <si>
    <t>61002564</t>
  </si>
  <si>
    <t>Epson EB-435W Projector CERPR 16259196</t>
  </si>
  <si>
    <t>CATUS TECHNOLOGY PTE LTD</t>
  </si>
  <si>
    <t>20/12/2016</t>
  </si>
  <si>
    <t>1,840.00</t>
  </si>
  <si>
    <t>-1,839.00</t>
  </si>
  <si>
    <t>61003926</t>
  </si>
  <si>
    <t>82</t>
  </si>
  <si>
    <t>AV Equipment w Installation-Pkg I1 CERPR 22424310</t>
  </si>
  <si>
    <t>Electro-Acoustics Systems</t>
  </si>
  <si>
    <t>22424310</t>
  </si>
  <si>
    <t>18/06/2024</t>
  </si>
  <si>
    <t>1,220.40</t>
  </si>
  <si>
    <t>-101.70</t>
  </si>
  <si>
    <t>1,118.70</t>
  </si>
  <si>
    <t>83</t>
  </si>
  <si>
    <t>AV Equipment w Installation-Pkg I2 CERPR 22424310</t>
  </si>
  <si>
    <t>6,185.16</t>
  </si>
  <si>
    <t>-515.43</t>
  </si>
  <si>
    <t>5,669.73</t>
  </si>
  <si>
    <t>62</t>
  </si>
  <si>
    <t>62000270</t>
  </si>
  <si>
    <t>Portable Short-throw Projector EPSON EB-535W CERPR 18298326</t>
  </si>
  <si>
    <t>28/09/2018</t>
  </si>
  <si>
    <t>1,444.50</t>
  </si>
  <si>
    <t>-1,443.50</t>
  </si>
  <si>
    <t>62000589</t>
  </si>
  <si>
    <t>IDEAL Shredder 4002 Cross Cut 165L PatSvcMROWorkrm CERPR 22409154</t>
  </si>
  <si>
    <t>NEOSYS DOCUMAIL (S) PTE LTD</t>
  </si>
  <si>
    <t>22409154</t>
  </si>
  <si>
    <t>11/07/2023</t>
  </si>
  <si>
    <t>2,538.00</t>
  </si>
  <si>
    <t>-676.80</t>
  </si>
  <si>
    <t>1,861.20</t>
  </si>
  <si>
    <t>62000623</t>
  </si>
  <si>
    <t>Hot Cold Ctr Wall Water Dispenser at L2 InPat Ops CERPR 22415794</t>
  </si>
  <si>
    <t>AODA WATER PURIFIER PTE. LTD.</t>
  </si>
  <si>
    <t>22415794</t>
  </si>
  <si>
    <t>23/10/2023</t>
  </si>
  <si>
    <t>1,350.00</t>
  </si>
  <si>
    <t>-292.50</t>
  </si>
  <si>
    <t>1,057.50</t>
  </si>
  <si>
    <t>62000702</t>
  </si>
  <si>
    <t>Samsung 440L 2Door Fridge RT43K6037SL CERPR 2202431609</t>
  </si>
  <si>
    <t>PARISILK ELECTRONICS &amp; COMPUTE</t>
  </si>
  <si>
    <t>2202431609</t>
  </si>
  <si>
    <t>09/06/2023</t>
  </si>
  <si>
    <t>1,086.48</t>
  </si>
  <si>
    <t>-307.84</t>
  </si>
  <si>
    <t>778.64</t>
  </si>
  <si>
    <t>62000742</t>
  </si>
  <si>
    <t>IDEAL Paper Shredder Model 4002 Cross Cut CERPR 2302444446</t>
  </si>
  <si>
    <t>2302444446</t>
  </si>
  <si>
    <t>21/10/2023</t>
  </si>
  <si>
    <t>2,430.00</t>
  </si>
  <si>
    <t>-526.50</t>
  </si>
  <si>
    <t>1,903.50</t>
  </si>
  <si>
    <t>63</t>
  </si>
  <si>
    <t>63002376</t>
  </si>
  <si>
    <t>Fabricate n Install Wood Laminated Locker Cabinet CERPR  16246742 c/w 54 nos. swing door S</t>
  </si>
  <si>
    <t>STIRLING CONSTRUCTION &amp; ENGINE</t>
  </si>
  <si>
    <t>10/10/2016</t>
  </si>
  <si>
    <t>4,300.00</t>
  </si>
  <si>
    <t>-4,299.00</t>
  </si>
  <si>
    <t>64</t>
  </si>
  <si>
    <t>64000425</t>
  </si>
  <si>
    <t>L-shaped Patient property lockers CERPR 18314883</t>
  </si>
  <si>
    <t>4,119.50</t>
  </si>
  <si>
    <t>-3,046.72</t>
  </si>
  <si>
    <t>1,072.78</t>
  </si>
  <si>
    <t>64000684</t>
  </si>
  <si>
    <t>Public Gang chair (4 seaters w PORTO PU) CERPR 22403971</t>
  </si>
  <si>
    <t>U-PLAN OFFICE FURNITURE (S) PT</t>
  </si>
  <si>
    <t>22403971</t>
  </si>
  <si>
    <t>24/05/2023</t>
  </si>
  <si>
    <t>1,080.00</t>
  </si>
  <si>
    <t>-202.50</t>
  </si>
  <si>
    <t>877.50</t>
  </si>
  <si>
    <t>64000880</t>
  </si>
  <si>
    <t>Workstation Type F - L-shape workstation CERPR 22424046</t>
  </si>
  <si>
    <t>Im Space Pte. Ltd.</t>
  </si>
  <si>
    <t>22424046</t>
  </si>
  <si>
    <t>23/11/2023</t>
  </si>
  <si>
    <t>1,355.40</t>
  </si>
  <si>
    <t>-169.43</t>
  </si>
  <si>
    <t>1,185.97</t>
  </si>
  <si>
    <t>75</t>
  </si>
  <si>
    <t>75000325</t>
  </si>
  <si>
    <t>eFC project not claimable form MOH - IHIS MP n GST INVQ201103300006  HQ95000325-0</t>
  </si>
  <si>
    <t>28/11/2012</t>
  </si>
  <si>
    <t>17,185.76</t>
  </si>
  <si>
    <t>-17,184.76</t>
  </si>
  <si>
    <t>75140832</t>
  </si>
  <si>
    <t>CR TTSH Financial Counselling for In-flight Patien 8000000832</t>
  </si>
  <si>
    <t>158,080.00</t>
  </si>
  <si>
    <t>-158,079.00</t>
  </si>
  <si>
    <t>75140899</t>
  </si>
  <si>
    <t>CR TTSH EDTC eForm Enhancement 8000000899</t>
  </si>
  <si>
    <t>6,422.00</t>
  </si>
  <si>
    <t>-6,421.00</t>
  </si>
  <si>
    <t>75150788</t>
  </si>
  <si>
    <t>TTSH Financial Counselling for Inflight Patients P 8000001515 INVQ201604280010/INVQ201606200009</t>
  </si>
  <si>
    <t>31/10/2016</t>
  </si>
  <si>
    <t>79,040.00</t>
  </si>
  <si>
    <t>-79,039.00</t>
  </si>
  <si>
    <t>75171002</t>
  </si>
  <si>
    <t>TTSH Patient Transferred to Gen Ward Report 8000002903  ESINQ18061300575 B-MN-17-1002-30</t>
  </si>
  <si>
    <t>31/07/2018</t>
  </si>
  <si>
    <t>11,528.00</t>
  </si>
  <si>
    <t>-11,527.00</t>
  </si>
  <si>
    <t>76</t>
  </si>
  <si>
    <t>76000547</t>
  </si>
  <si>
    <t>National Electronic Financial Records System Enhan Skelta 20140911-778 95000547-0</t>
  </si>
  <si>
    <t>11/12/2015</t>
  </si>
  <si>
    <t>4,840.21</t>
  </si>
  <si>
    <t>-4,839.21</t>
  </si>
  <si>
    <t>National Electronic Financial Records System Enhan Skelta 20141009-812 95000547-1</t>
  </si>
  <si>
    <t>12/03/2016</t>
  </si>
  <si>
    <t>13,827.66</t>
  </si>
  <si>
    <t>-13,826.66</t>
  </si>
  <si>
    <t>76000562</t>
  </si>
  <si>
    <t>National Electronic Financial Record System Enhanc HQ95000562-0 INVQ201501140021 Skelta 20141009-810</t>
  </si>
  <si>
    <t>Gurusoft Pte Ltd</t>
  </si>
  <si>
    <t>13/03/2015</t>
  </si>
  <si>
    <t>1,963.94</t>
  </si>
  <si>
    <t>-1,962.94</t>
  </si>
  <si>
    <t>76130111</t>
  </si>
  <si>
    <t>IHIS Manpower FOR PR MOH NeFR NNJA A-PR-13-0111</t>
  </si>
  <si>
    <t>09/06/2016</t>
  </si>
  <si>
    <t>4,834.88</t>
  </si>
  <si>
    <t>-4,833.88</t>
  </si>
  <si>
    <t>81</t>
  </si>
  <si>
    <t>81001220</t>
  </si>
  <si>
    <t>CL-IHIS-Electronic Financial Counselling n eForms PM Lee Moh Jeng</t>
  </si>
  <si>
    <t>07/06/2023</t>
  </si>
  <si>
    <t>85,031.52</t>
  </si>
  <si>
    <t>CL-Electronic Financial Counselling n eForms PO 8000008170 / PM Lee Moh Jeng</t>
  </si>
  <si>
    <t>8000008170</t>
  </si>
  <si>
    <t>16/08/2023</t>
  </si>
  <si>
    <t>73,879.46</t>
  </si>
  <si>
    <t>81001311</t>
  </si>
  <si>
    <t>L2 eFC-eForms (Cluster)_A-PG-21-0003-01 PM Lee Moh Jeng / A-PG-21-0003-01</t>
  </si>
  <si>
    <t>27/03/2024</t>
  </si>
  <si>
    <t>18,485.10</t>
  </si>
  <si>
    <t>91</t>
  </si>
  <si>
    <t>91001450</t>
  </si>
  <si>
    <t>Consult Svc-A&amp;A-Conv Admis Off n PEARL Liaison Ctr CERPR 2201430454</t>
  </si>
  <si>
    <t>CONTEXT ARCHITECTS PTE LTD</t>
  </si>
  <si>
    <t>2201430454</t>
  </si>
  <si>
    <t>10/05/2024</t>
  </si>
  <si>
    <t>38,400.00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</si>
</sst>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3"/>
      <color rgb="FF000000"/>
      <name val="Calibri Light"/>
      <family val="2"/>
    </font>
    <font>
      <sz val="13"/>
      <color rgb="FF000000"/>
      <name val="Calibri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 "/>
    </font>
    <font>
      <sz val="11"/>
      <name val="Calibri "/>
    </font>
    <font>
      <sz val="11"/>
      <color theme="1"/>
      <name val="Calibri "/>
    </font>
    <font>
      <b/>
      <sz val="11"/>
      <color rgb="FF000000"/>
      <name val="Calibri 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6B7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0" fillId="0" borderId="0"/>
  </cellStyleXfs>
  <cellXfs count="280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6" borderId="1" xfId="0" applyFill="1" applyBorder="1"/>
    <xf numFmtId="0" fontId="0" fillId="6" borderId="0" xfId="0" applyFill="1"/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horizontal="left" vertical="top"/>
    </xf>
    <xf numFmtId="14" fontId="0" fillId="6" borderId="1" xfId="0" applyNumberFormat="1" applyFill="1" applyBorder="1" applyAlignment="1">
      <alignment horizontal="left" vertical="top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8" borderId="1" xfId="0" applyFont="1" applyFill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/>
    <xf numFmtId="0" fontId="11" fillId="0" borderId="1" xfId="0" applyFont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6" fillId="0" borderId="0" xfId="0" applyFont="1"/>
    <xf numFmtId="0" fontId="17" fillId="0" borderId="0" xfId="0" applyFont="1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18" fillId="0" borderId="1" xfId="0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/>
    <xf numFmtId="0" fontId="16" fillId="0" borderId="1" xfId="0" applyFont="1" applyBorder="1"/>
    <xf numFmtId="0" fontId="22" fillId="0" borderId="1" xfId="0" applyFont="1" applyBorder="1" applyAlignment="1">
      <alignment horizontal="center" vertical="center"/>
    </xf>
    <xf numFmtId="0" fontId="16" fillId="4" borderId="1" xfId="0" applyFont="1" applyFill="1" applyBorder="1"/>
    <xf numFmtId="0" fontId="16" fillId="7" borderId="1" xfId="0" applyFont="1" applyFill="1" applyBorder="1"/>
    <xf numFmtId="0" fontId="16" fillId="6" borderId="1" xfId="0" applyFont="1" applyFill="1" applyBorder="1"/>
    <xf numFmtId="0" fontId="15" fillId="4" borderId="1" xfId="0" applyFont="1" applyFill="1" applyBorder="1"/>
    <xf numFmtId="0" fontId="15" fillId="7" borderId="1" xfId="0" applyFont="1" applyFill="1" applyBorder="1"/>
    <xf numFmtId="14" fontId="16" fillId="6" borderId="1" xfId="0" applyNumberFormat="1" applyFon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1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5" fillId="4" borderId="1" xfId="0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3" fillId="4" borderId="1" xfId="0" applyFont="1" applyFill="1" applyBorder="1"/>
    <xf numFmtId="0" fontId="1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/>
    <xf numFmtId="0" fontId="0" fillId="2" borderId="1" xfId="0" applyFill="1" applyBorder="1" applyAlignment="1">
      <alignment horizontal="left"/>
    </xf>
    <xf numFmtId="0" fontId="30" fillId="0" borderId="0" xfId="1"/>
    <xf numFmtId="0" fontId="30" fillId="2" borderId="0" xfId="1" applyFill="1"/>
    <xf numFmtId="0" fontId="2" fillId="0" borderId="0" xfId="0" applyFont="1"/>
    <xf numFmtId="0" fontId="0" fillId="0" borderId="1" xfId="0" applyBorder="1" applyAlignment="1">
      <alignment wrapText="1"/>
    </xf>
    <xf numFmtId="0" fontId="7" fillId="5" borderId="4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right" vertical="center" wrapText="1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33" fillId="0" borderId="1" xfId="0" applyFont="1" applyBorder="1"/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 vertical="center"/>
    </xf>
    <xf numFmtId="0" fontId="11" fillId="6" borderId="1" xfId="0" applyFont="1" applyFill="1" applyBorder="1"/>
    <xf numFmtId="0" fontId="2" fillId="0" borderId="1" xfId="0" applyFont="1" applyBorder="1"/>
    <xf numFmtId="0" fontId="16" fillId="14" borderId="1" xfId="0" applyFont="1" applyFill="1" applyBorder="1"/>
    <xf numFmtId="0" fontId="23" fillId="14" borderId="1" xfId="0" applyFont="1" applyFill="1" applyBorder="1"/>
    <xf numFmtId="14" fontId="16" fillId="14" borderId="1" xfId="0" applyNumberFormat="1" applyFont="1" applyFill="1" applyBorder="1" applyAlignment="1">
      <alignment horizontal="left"/>
    </xf>
    <xf numFmtId="0" fontId="23" fillId="14" borderId="1" xfId="0" applyFont="1" applyFill="1" applyBorder="1" applyAlignment="1">
      <alignment vertical="top"/>
    </xf>
    <xf numFmtId="0" fontId="16" fillId="14" borderId="1" xfId="0" applyFont="1" applyFill="1" applyBorder="1" applyAlignment="1">
      <alignment vertical="top"/>
    </xf>
    <xf numFmtId="14" fontId="16" fillId="14" borderId="1" xfId="0" applyNumberFormat="1" applyFont="1" applyFill="1" applyBorder="1"/>
    <xf numFmtId="0" fontId="2" fillId="14" borderId="0" xfId="0" applyFont="1" applyFill="1"/>
    <xf numFmtId="16" fontId="16" fillId="14" borderId="1" xfId="0" applyNumberFormat="1" applyFont="1" applyFill="1" applyBorder="1"/>
    <xf numFmtId="0" fontId="0" fillId="14" borderId="0" xfId="0" applyFill="1"/>
    <xf numFmtId="0" fontId="16" fillId="14" borderId="1" xfId="0" applyFont="1" applyFill="1" applyBorder="1" applyAlignment="1">
      <alignment vertical="center"/>
    </xf>
    <xf numFmtId="0" fontId="23" fillId="14" borderId="1" xfId="0" applyFont="1" applyFill="1" applyBorder="1" applyAlignment="1">
      <alignment vertical="center"/>
    </xf>
    <xf numFmtId="14" fontId="16" fillId="14" borderId="1" xfId="0" applyNumberFormat="1" applyFont="1" applyFill="1" applyBorder="1" applyAlignment="1">
      <alignment horizontal="left" vertical="center"/>
    </xf>
    <xf numFmtId="14" fontId="16" fillId="14" borderId="1" xfId="0" applyNumberFormat="1" applyFont="1" applyFill="1" applyBorder="1" applyAlignment="1">
      <alignment vertical="center"/>
    </xf>
    <xf numFmtId="0" fontId="0" fillId="14" borderId="0" xfId="0" applyFill="1" applyAlignment="1">
      <alignment vertical="center"/>
    </xf>
    <xf numFmtId="0" fontId="16" fillId="12" borderId="1" xfId="0" applyFont="1" applyFill="1" applyBorder="1"/>
    <xf numFmtId="0" fontId="15" fillId="12" borderId="1" xfId="0" applyFont="1" applyFill="1" applyBorder="1" applyAlignment="1">
      <alignment horizontal="left"/>
    </xf>
    <xf numFmtId="0" fontId="23" fillId="12" borderId="1" xfId="0" applyFont="1" applyFill="1" applyBorder="1"/>
    <xf numFmtId="14" fontId="16" fillId="12" borderId="1" xfId="0" applyNumberFormat="1" applyFont="1" applyFill="1" applyBorder="1" applyAlignment="1">
      <alignment horizontal="left"/>
    </xf>
    <xf numFmtId="0" fontId="16" fillId="12" borderId="1" xfId="0" applyFont="1" applyFill="1" applyBorder="1" applyAlignment="1">
      <alignment vertical="top"/>
    </xf>
    <xf numFmtId="14" fontId="16" fillId="12" borderId="1" xfId="0" applyNumberFormat="1" applyFont="1" applyFill="1" applyBorder="1"/>
    <xf numFmtId="16" fontId="16" fillId="12" borderId="1" xfId="0" applyNumberFormat="1" applyFont="1" applyFill="1" applyBorder="1"/>
    <xf numFmtId="0" fontId="0" fillId="12" borderId="0" xfId="0" applyFill="1"/>
    <xf numFmtId="0" fontId="15" fillId="14" borderId="1" xfId="0" applyFont="1" applyFill="1" applyBorder="1"/>
    <xf numFmtId="0" fontId="16" fillId="15" borderId="1" xfId="0" applyFont="1" applyFill="1" applyBorder="1"/>
    <xf numFmtId="0" fontId="16" fillId="15" borderId="1" xfId="0" applyFont="1" applyFill="1" applyBorder="1" applyAlignment="1">
      <alignment horizontal="left"/>
    </xf>
    <xf numFmtId="14" fontId="16" fillId="15" borderId="1" xfId="0" applyNumberFormat="1" applyFont="1" applyFill="1" applyBorder="1" applyAlignment="1">
      <alignment horizontal="left"/>
    </xf>
    <xf numFmtId="0" fontId="16" fillId="15" borderId="1" xfId="0" applyFont="1" applyFill="1" applyBorder="1" applyAlignment="1">
      <alignment vertical="top"/>
    </xf>
    <xf numFmtId="14" fontId="16" fillId="15" borderId="1" xfId="0" applyNumberFormat="1" applyFont="1" applyFill="1" applyBorder="1"/>
    <xf numFmtId="0" fontId="16" fillId="15" borderId="1" xfId="0" quotePrefix="1" applyFont="1" applyFill="1" applyBorder="1"/>
    <xf numFmtId="0" fontId="0" fillId="15" borderId="0" xfId="0" applyFill="1"/>
    <xf numFmtId="0" fontId="24" fillId="14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6" fillId="12" borderId="1" xfId="0" applyFont="1" applyFill="1" applyBorder="1" applyAlignment="1">
      <alignment wrapText="1"/>
    </xf>
    <xf numFmtId="0" fontId="6" fillId="14" borderId="0" xfId="0" applyFont="1" applyFill="1" applyAlignment="1">
      <alignment wrapText="1"/>
    </xf>
    <xf numFmtId="0" fontId="35" fillId="0" borderId="0" xfId="1" applyFont="1"/>
    <xf numFmtId="0" fontId="36" fillId="0" borderId="5" xfId="0" applyFont="1" applyBorder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7" fillId="0" borderId="7" xfId="0" applyFont="1" applyBorder="1" applyAlignment="1">
      <alignment vertical="center" wrapText="1"/>
    </xf>
    <xf numFmtId="0" fontId="37" fillId="0" borderId="9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6" fillId="6" borderId="1" xfId="0" applyFont="1" applyFill="1" applyBorder="1" applyAlignment="1">
      <alignment vertical="top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/>
    <xf numFmtId="0" fontId="2" fillId="6" borderId="0" xfId="0" applyFont="1" applyFill="1"/>
    <xf numFmtId="14" fontId="16" fillId="6" borderId="1" xfId="0" applyNumberFormat="1" applyFont="1" applyFill="1" applyBorder="1" applyAlignment="1">
      <alignment horizontal="left" vertical="top"/>
    </xf>
    <xf numFmtId="0" fontId="23" fillId="6" borderId="1" xfId="0" applyFont="1" applyFill="1" applyBorder="1" applyAlignment="1">
      <alignment vertical="top"/>
    </xf>
    <xf numFmtId="14" fontId="16" fillId="6" borderId="1" xfId="0" applyNumberFormat="1" applyFont="1" applyFill="1" applyBorder="1"/>
    <xf numFmtId="16" fontId="16" fillId="6" borderId="1" xfId="0" applyNumberFormat="1" applyFont="1" applyFill="1" applyBorder="1"/>
    <xf numFmtId="0" fontId="16" fillId="6" borderId="1" xfId="0" applyFont="1" applyFill="1" applyBorder="1" applyAlignment="1">
      <alignment wrapText="1"/>
    </xf>
    <xf numFmtId="0" fontId="27" fillId="6" borderId="1" xfId="0" applyFont="1" applyFill="1" applyBorder="1"/>
    <xf numFmtId="0" fontId="16" fillId="6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wrapText="1"/>
    </xf>
    <xf numFmtId="0" fontId="16" fillId="6" borderId="1" xfId="0" quotePrefix="1" applyFont="1" applyFill="1" applyBorder="1"/>
    <xf numFmtId="0" fontId="16" fillId="6" borderId="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vertical="center"/>
    </xf>
    <xf numFmtId="14" fontId="16" fillId="6" borderId="1" xfId="0" applyNumberFormat="1" applyFont="1" applyFill="1" applyBorder="1" applyAlignment="1">
      <alignment horizontal="left" vertical="center"/>
    </xf>
    <xf numFmtId="0" fontId="24" fillId="6" borderId="1" xfId="0" applyFont="1" applyFill="1" applyBorder="1" applyAlignment="1">
      <alignment vertical="center"/>
    </xf>
    <xf numFmtId="14" fontId="16" fillId="6" borderId="1" xfId="0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5" fillId="12" borderId="1" xfId="0" applyFont="1" applyFill="1" applyBorder="1"/>
    <xf numFmtId="0" fontId="16" fillId="1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vertical="center" wrapText="1"/>
    </xf>
    <xf numFmtId="0" fontId="16" fillId="16" borderId="1" xfId="0" applyFont="1" applyFill="1" applyBorder="1"/>
    <xf numFmtId="0" fontId="34" fillId="5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0" fillId="0" borderId="1" xfId="1" applyBorder="1"/>
    <xf numFmtId="0" fontId="0" fillId="6" borderId="1" xfId="0" applyFill="1" applyBorder="1" applyAlignment="1">
      <alignment wrapText="1"/>
    </xf>
    <xf numFmtId="0" fontId="0" fillId="12" borderId="1" xfId="0" applyFill="1" applyBorder="1"/>
    <xf numFmtId="0" fontId="0" fillId="14" borderId="1" xfId="0" applyFill="1" applyBorder="1"/>
    <xf numFmtId="0" fontId="15" fillId="3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5" fillId="3" borderId="12" xfId="0" applyFont="1" applyFill="1" applyBorder="1"/>
    <xf numFmtId="0" fontId="6" fillId="6" borderId="12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0" fontId="0" fillId="4" borderId="0" xfId="0" applyFill="1"/>
    <xf numFmtId="0" fontId="2" fillId="17" borderId="3" xfId="0" applyFont="1" applyFill="1" applyBorder="1" applyAlignment="1">
      <alignment horizontal="center" vertical="center"/>
    </xf>
    <xf numFmtId="0" fontId="2" fillId="17" borderId="1" xfId="0" applyFont="1" applyFill="1" applyBorder="1"/>
    <xf numFmtId="0" fontId="2" fillId="17" borderId="1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center" vertical="center"/>
    </xf>
    <xf numFmtId="0" fontId="2" fillId="17" borderId="0" xfId="0" applyFont="1" applyFill="1"/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4" borderId="0" xfId="0" applyFont="1" applyFill="1"/>
    <xf numFmtId="0" fontId="2" fillId="4" borderId="3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0" fillId="13" borderId="1" xfId="0" applyFill="1" applyBorder="1"/>
    <xf numFmtId="0" fontId="6" fillId="13" borderId="3" xfId="0" applyFont="1" applyFill="1" applyBorder="1" applyAlignment="1">
      <alignment horizontal="left"/>
    </xf>
    <xf numFmtId="0" fontId="6" fillId="13" borderId="12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center" vertical="center"/>
    </xf>
    <xf numFmtId="0" fontId="0" fillId="13" borderId="0" xfId="0" applyFill="1"/>
    <xf numFmtId="14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14" fillId="0" borderId="1" xfId="0" applyFont="1" applyBorder="1"/>
    <xf numFmtId="14" fontId="11" fillId="0" borderId="1" xfId="0" applyNumberFormat="1" applyFont="1" applyBorder="1" applyAlignment="1">
      <alignment horizontal="left"/>
    </xf>
    <xf numFmtId="0" fontId="0" fillId="0" borderId="2" xfId="0" applyBorder="1"/>
    <xf numFmtId="0" fontId="23" fillId="6" borderId="1" xfId="0" applyFont="1" applyFill="1" applyBorder="1" applyAlignment="1">
      <alignment wrapText="1"/>
    </xf>
    <xf numFmtId="0" fontId="38" fillId="6" borderId="1" xfId="0" applyFont="1" applyFill="1" applyBorder="1"/>
    <xf numFmtId="0" fontId="23" fillId="6" borderId="1" xfId="0" applyFont="1" applyFill="1" applyBorder="1"/>
    <xf numFmtId="0" fontId="23" fillId="15" borderId="1" xfId="0" applyFont="1" applyFill="1" applyBorder="1"/>
    <xf numFmtId="0" fontId="0" fillId="15" borderId="1" xfId="0" applyFill="1" applyBorder="1"/>
    <xf numFmtId="0" fontId="25" fillId="15" borderId="1" xfId="0" applyFont="1" applyFill="1" applyBorder="1" applyAlignment="1">
      <alignment vertical="center" wrapText="1"/>
    </xf>
    <xf numFmtId="0" fontId="26" fillId="15" borderId="1" xfId="0" applyFont="1" applyFill="1" applyBorder="1"/>
    <xf numFmtId="0" fontId="16" fillId="15" borderId="1" xfId="0" applyFont="1" applyFill="1" applyBorder="1" applyAlignment="1">
      <alignment wrapText="1"/>
    </xf>
    <xf numFmtId="14" fontId="16" fillId="15" borderId="1" xfId="0" applyNumberFormat="1" applyFont="1" applyFill="1" applyBorder="1" applyAlignment="1">
      <alignment horizontal="left" vertical="top"/>
    </xf>
    <xf numFmtId="0" fontId="2" fillId="15" borderId="0" xfId="0" applyFont="1" applyFill="1"/>
    <xf numFmtId="0" fontId="15" fillId="3" borderId="3" xfId="0" applyFont="1" applyFill="1" applyBorder="1"/>
    <xf numFmtId="0" fontId="11" fillId="0" borderId="3" xfId="0" applyFont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2" fillId="17" borderId="3" xfId="0" applyFont="1" applyFill="1" applyBorder="1" applyAlignment="1">
      <alignment horizontal="left"/>
    </xf>
    <xf numFmtId="0" fontId="11" fillId="13" borderId="3" xfId="0" applyFont="1" applyFill="1" applyBorder="1" applyAlignment="1">
      <alignment horizontal="left"/>
    </xf>
    <xf numFmtId="0" fontId="2" fillId="13" borderId="1" xfId="0" applyFont="1" applyFill="1" applyBorder="1"/>
    <xf numFmtId="0" fontId="1" fillId="6" borderId="1" xfId="0" applyFont="1" applyFill="1" applyBorder="1"/>
    <xf numFmtId="0" fontId="1" fillId="18" borderId="1" xfId="0" applyFont="1" applyFill="1" applyBorder="1"/>
    <xf numFmtId="0" fontId="18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" fillId="6" borderId="2" xfId="0" applyFont="1" applyFill="1" applyBorder="1"/>
    <xf numFmtId="0" fontId="1" fillId="6" borderId="15" xfId="0" applyFont="1" applyFill="1" applyBorder="1"/>
    <xf numFmtId="0" fontId="1" fillId="0" borderId="1" xfId="0" applyFont="1" applyBorder="1"/>
    <xf numFmtId="0" fontId="5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" fillId="3" borderId="16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6" fillId="0" borderId="16" xfId="0" applyFont="1" applyBorder="1" applyAlignment="1">
      <alignment vertical="center"/>
    </xf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2" borderId="16" xfId="0" applyFill="1" applyBorder="1"/>
    <xf numFmtId="0" fontId="0" fillId="0" borderId="16" xfId="0" applyBorder="1"/>
    <xf numFmtId="0" fontId="0" fillId="6" borderId="16" xfId="0" applyFill="1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/>
    </xf>
    <xf numFmtId="14" fontId="0" fillId="6" borderId="16" xfId="0" applyNumberFormat="1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 wrapText="1"/>
    </xf>
    <xf numFmtId="0" fontId="28" fillId="0" borderId="16" xfId="0" applyFont="1" applyBorder="1" applyAlignment="1">
      <alignment vertical="center"/>
    </xf>
    <xf numFmtId="0" fontId="5" fillId="6" borderId="16" xfId="0" applyFont="1" applyFill="1" applyBorder="1" applyAlignment="1">
      <alignment vertical="center" wrapText="1"/>
    </xf>
    <xf numFmtId="0" fontId="0" fillId="6" borderId="16" xfId="0" applyFill="1" applyBorder="1" applyAlignment="1">
      <alignment vertical="center" wrapText="1"/>
    </xf>
    <xf numFmtId="0" fontId="11" fillId="0" borderId="16" xfId="0" applyFont="1" applyBorder="1" applyAlignment="1">
      <alignment vertical="center"/>
    </xf>
    <xf numFmtId="14" fontId="0" fillId="0" borderId="16" xfId="0" applyNumberFormat="1" applyBorder="1" applyAlignment="1">
      <alignment vertical="center"/>
    </xf>
    <xf numFmtId="0" fontId="0" fillId="9" borderId="16" xfId="0" applyFill="1" applyBorder="1" applyAlignment="1">
      <alignment vertical="center"/>
    </xf>
    <xf numFmtId="11" fontId="0" fillId="9" borderId="16" xfId="0" applyNumberFormat="1" applyFill="1" applyBorder="1" applyAlignment="1">
      <alignment vertical="center"/>
    </xf>
    <xf numFmtId="14" fontId="0" fillId="9" borderId="16" xfId="0" applyNumberFormat="1" applyFill="1" applyBorder="1" applyAlignment="1">
      <alignment vertical="center"/>
    </xf>
    <xf numFmtId="0" fontId="0" fillId="9" borderId="16" xfId="0" applyFill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6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/>
    </xf>
    <xf numFmtId="0" fontId="28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1EB310FF-59B4-40EA-852F-2D08DE26524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6B78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30</xdr:row>
          <xdr:rowOff>0</xdr:rowOff>
        </xdr:from>
        <xdr:to>
          <xdr:col>4</xdr:col>
          <xdr:colOff>104775</xdr:colOff>
          <xdr:row>30</xdr:row>
          <xdr:rowOff>38100</xdr:rowOff>
        </xdr:to>
        <xdr:sp macro="" textlink="">
          <xdr:nvSpPr>
            <xdr:cNvPr id="6145" name="Group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Group Box 8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e Geik Siau (TTSH)" id="{16560400-95DC-4880-B876-5E55313AC00C}" userId="S::Geik_Siau_WEE@ttsh.com.sg::6f52c77c-76e2-4568-bac9-63e9475499b8" providerId="AD"/>
  <person displayName="Leow Jia Min Charmaine (TTSH)" id="{FB5EA9EF-892D-4B25-A4A3-9DD048749232}" userId="S::Charmaine_JM_LEOW@ttsh.com.sg::fffd1e87-2900-43f7-9843-2abc08294f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5-04-29T02:13:57.29" personId="{FB5EA9EF-892D-4B25-A4A3-9DD048749232}" id="{87D3BC48-5918-4AAC-94FC-9594E3FE9060}">
    <text>Where is this laptop located?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4-08-07T08:33:25.06" personId="{16560400-95DC-4880-B876-5E55313AC00C}" id="{76DDDF40-8BC9-4199-86B7-3763F50BBF3C}">
    <text xml:space="preserve">Old -903PC197563
</text>
  </threadedComment>
  <threadedComment ref="E3" dT="2024-08-07T08:33:35.26" personId="{16560400-95DC-4880-B876-5E55313AC00C}" id="{57712CB7-308C-4FF4-BC0A-25B5E083A2FD}">
    <text>Old- PC17QP9S</text>
  </threadedComment>
  <threadedComment ref="F3" dT="2024-08-07T08:33:46.86" personId="{16560400-95DC-4880-B876-5E55313AC00C}" id="{F513C3CE-ADE9-453F-9088-BDF1AB0CA77C}">
    <text>Old-51031184-0/2019</text>
  </threadedComment>
  <threadedComment ref="G3" dT="2024-08-07T08:34:00.96" personId="{16560400-95DC-4880-B876-5E55313AC00C}" id="{262D5265-05A4-4ECE-890C-E24D2F4E8429}">
    <text>Old - TTSAX2197563PNS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FB4F-8343-4576-9274-D43B7B3A73E8}">
  <dimension ref="B1:I31"/>
  <sheetViews>
    <sheetView topLeftCell="A7" workbookViewId="0">
      <selection activeCell="F26" sqref="F26"/>
    </sheetView>
  </sheetViews>
  <sheetFormatPr defaultRowHeight="15"/>
  <cols>
    <col min="2" max="2" width="27.5703125" style="133" customWidth="1"/>
    <col min="3" max="3" width="20.42578125" customWidth="1"/>
    <col min="4" max="8" width="16.42578125" customWidth="1"/>
    <col min="9" max="9" width="12.5703125" customWidth="1"/>
  </cols>
  <sheetData>
    <row r="1" spans="2:9">
      <c r="B1" s="133" t="s">
        <v>0</v>
      </c>
      <c r="C1" t="s">
        <v>1</v>
      </c>
      <c r="D1" t="s">
        <v>2</v>
      </c>
      <c r="E1" t="s">
        <v>3</v>
      </c>
      <c r="F1" t="s">
        <v>4</v>
      </c>
      <c r="G1" t="s">
        <v>4</v>
      </c>
      <c r="H1" t="s">
        <v>5</v>
      </c>
    </row>
    <row r="2" spans="2:9">
      <c r="B2" s="133" t="s">
        <v>6</v>
      </c>
      <c r="C2" t="s">
        <v>7</v>
      </c>
      <c r="D2" t="s">
        <v>7</v>
      </c>
      <c r="E2" t="s">
        <v>7</v>
      </c>
      <c r="F2" t="s">
        <v>7</v>
      </c>
      <c r="G2" t="s">
        <v>8</v>
      </c>
      <c r="H2" t="s">
        <v>9</v>
      </c>
    </row>
    <row r="3" spans="2:9">
      <c r="C3" s="132" t="s">
        <v>10</v>
      </c>
      <c r="D3" s="132" t="s">
        <v>11</v>
      </c>
      <c r="E3" s="132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</row>
    <row r="4" spans="2:9">
      <c r="B4" s="134" t="s">
        <v>17</v>
      </c>
      <c r="C4" s="5">
        <v>23</v>
      </c>
      <c r="D4" s="5">
        <v>4</v>
      </c>
      <c r="E4" s="5">
        <v>9</v>
      </c>
      <c r="F4" s="5">
        <v>2</v>
      </c>
      <c r="G4" s="5">
        <v>3</v>
      </c>
      <c r="H4" s="5">
        <v>1</v>
      </c>
      <c r="I4" t="s">
        <v>18</v>
      </c>
    </row>
    <row r="5" spans="2:9">
      <c r="B5" s="134" t="s">
        <v>19</v>
      </c>
      <c r="C5" s="5">
        <v>3</v>
      </c>
      <c r="D5" s="5">
        <v>2</v>
      </c>
      <c r="E5" s="5">
        <v>0</v>
      </c>
      <c r="F5" s="5">
        <v>8</v>
      </c>
      <c r="G5" s="5">
        <v>2</v>
      </c>
      <c r="H5" s="5">
        <v>4</v>
      </c>
      <c r="I5" t="s">
        <v>18</v>
      </c>
    </row>
    <row r="6" spans="2:9">
      <c r="B6" s="134" t="s">
        <v>20</v>
      </c>
      <c r="C6" s="5"/>
      <c r="D6" s="5">
        <v>1</v>
      </c>
      <c r="E6" s="5"/>
      <c r="F6" s="5"/>
      <c r="G6" s="5"/>
      <c r="H6" s="5"/>
    </row>
    <row r="7" spans="2:9" ht="30">
      <c r="B7" s="134" t="s">
        <v>21</v>
      </c>
      <c r="C7" s="5">
        <v>2</v>
      </c>
      <c r="D7" s="5">
        <v>2</v>
      </c>
      <c r="E7" s="5">
        <v>7</v>
      </c>
      <c r="F7" s="5">
        <v>1</v>
      </c>
      <c r="G7" s="5">
        <v>1</v>
      </c>
      <c r="H7" s="5">
        <v>9</v>
      </c>
      <c r="I7" t="s">
        <v>18</v>
      </c>
    </row>
    <row r="8" spans="2:9" ht="30">
      <c r="B8" s="134" t="s">
        <v>22</v>
      </c>
      <c r="C8" s="5">
        <v>0</v>
      </c>
      <c r="D8" s="5">
        <v>3</v>
      </c>
      <c r="E8" s="5">
        <v>0</v>
      </c>
      <c r="F8" s="5"/>
      <c r="G8" s="5">
        <v>5</v>
      </c>
      <c r="H8" s="5">
        <v>5</v>
      </c>
      <c r="I8" t="s">
        <v>23</v>
      </c>
    </row>
    <row r="9" spans="2:9">
      <c r="B9" s="134" t="s">
        <v>24</v>
      </c>
      <c r="C9" s="5" t="s">
        <v>25</v>
      </c>
      <c r="D9" s="5">
        <v>5</v>
      </c>
      <c r="E9" s="5">
        <v>5</v>
      </c>
      <c r="F9" s="5">
        <v>6</v>
      </c>
      <c r="G9" s="5">
        <v>3</v>
      </c>
      <c r="H9" s="5"/>
      <c r="I9" t="s">
        <v>23</v>
      </c>
    </row>
    <row r="10" spans="2:9">
      <c r="B10" s="134" t="s">
        <v>26</v>
      </c>
      <c r="C10" s="5" t="s">
        <v>25</v>
      </c>
      <c r="D10" s="5">
        <v>7</v>
      </c>
      <c r="E10" s="5">
        <v>10</v>
      </c>
      <c r="F10" s="5">
        <v>6</v>
      </c>
      <c r="G10" s="5">
        <v>3</v>
      </c>
      <c r="H10" s="5"/>
      <c r="I10" t="s">
        <v>23</v>
      </c>
    </row>
    <row r="11" spans="2:9" ht="45">
      <c r="B11" s="134" t="s">
        <v>27</v>
      </c>
      <c r="C11" s="133" t="s">
        <v>28</v>
      </c>
      <c r="D11" t="s">
        <v>29</v>
      </c>
    </row>
    <row r="12" spans="2:9" ht="30">
      <c r="C12" s="147" t="s">
        <v>30</v>
      </c>
    </row>
    <row r="14" spans="2:9">
      <c r="E14" t="s">
        <v>31</v>
      </c>
    </row>
    <row r="15" spans="2:9" ht="30">
      <c r="B15" s="133" t="s">
        <v>32</v>
      </c>
    </row>
    <row r="16" spans="2:9">
      <c r="E16" t="s">
        <v>33</v>
      </c>
    </row>
    <row r="18" spans="2:7">
      <c r="E18" t="s">
        <v>34</v>
      </c>
    </row>
    <row r="20" spans="2:7" ht="15.75" thickBot="1"/>
    <row r="21" spans="2:7" ht="15.75" thickBot="1">
      <c r="B21" s="138" t="s">
        <v>35</v>
      </c>
      <c r="C21" s="139" t="s">
        <v>36</v>
      </c>
    </row>
    <row r="22" spans="2:7">
      <c r="B22" s="140" t="s">
        <v>37</v>
      </c>
      <c r="C22" s="246" t="s">
        <v>38</v>
      </c>
    </row>
    <row r="23" spans="2:7" ht="30.75" thickBot="1">
      <c r="B23" s="141" t="s">
        <v>39</v>
      </c>
      <c r="C23" s="247"/>
      <c r="D23" t="s">
        <v>40</v>
      </c>
      <c r="F23">
        <f>2*392.4</f>
        <v>784.8</v>
      </c>
      <c r="G23">
        <f>3*392.4</f>
        <v>1177.1999999999998</v>
      </c>
    </row>
    <row r="24" spans="2:7" ht="15.75" thickBot="1">
      <c r="B24" s="143" t="s">
        <v>41</v>
      </c>
      <c r="C24" s="144" t="s">
        <v>42</v>
      </c>
      <c r="D24" t="s">
        <v>17</v>
      </c>
      <c r="F24">
        <f>511.8*8</f>
        <v>4094.4</v>
      </c>
      <c r="G24">
        <f>2*511.8</f>
        <v>1023.6</v>
      </c>
    </row>
    <row r="25" spans="2:7">
      <c r="B25" s="246" t="s">
        <v>43</v>
      </c>
      <c r="C25" s="246" t="s">
        <v>44</v>
      </c>
    </row>
    <row r="26" spans="2:7" ht="15.75" thickBot="1">
      <c r="B26" s="247"/>
      <c r="C26" s="247"/>
    </row>
    <row r="27" spans="2:7" ht="30">
      <c r="B27" s="246" t="s">
        <v>45</v>
      </c>
      <c r="C27" s="142" t="s">
        <v>46</v>
      </c>
    </row>
    <row r="28" spans="2:7" ht="15.75" thickBot="1">
      <c r="B28" s="247"/>
      <c r="C28" s="144" t="s">
        <v>47</v>
      </c>
    </row>
    <row r="29" spans="2:7">
      <c r="B29" s="140" t="s">
        <v>48</v>
      </c>
      <c r="C29" s="246" t="s">
        <v>49</v>
      </c>
    </row>
    <row r="30" spans="2:7" ht="15.75" thickBot="1">
      <c r="B30" s="141" t="s">
        <v>50</v>
      </c>
      <c r="C30" s="247"/>
    </row>
    <row r="31" spans="2:7" ht="15.75" thickBot="1">
      <c r="B31" s="145" t="s">
        <v>51</v>
      </c>
      <c r="C31" s="146" t="s">
        <v>52</v>
      </c>
    </row>
  </sheetData>
  <mergeCells count="5">
    <mergeCell ref="C22:C23"/>
    <mergeCell ref="B25:B26"/>
    <mergeCell ref="C25:C26"/>
    <mergeCell ref="B27:B28"/>
    <mergeCell ref="C29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0"/>
  <sheetViews>
    <sheetView zoomScale="85" zoomScaleNormal="85" workbookViewId="0">
      <selection activeCell="B1" sqref="B1"/>
    </sheetView>
  </sheetViews>
  <sheetFormatPr defaultRowHeight="15.75"/>
  <cols>
    <col min="1" max="1" width="9.42578125" style="46" customWidth="1"/>
    <col min="2" max="2" width="28.42578125" style="46" customWidth="1"/>
    <col min="3" max="3" width="15.28515625" style="46" customWidth="1"/>
    <col min="4" max="4" width="35.42578125" style="46" bestFit="1" customWidth="1"/>
    <col min="5" max="5" width="31.5703125" style="46" customWidth="1"/>
    <col min="6" max="6" width="22.5703125" style="46" customWidth="1"/>
    <col min="7" max="7" width="33.7109375" style="46" customWidth="1"/>
    <col min="8" max="8" width="29.28515625" style="46" bestFit="1" customWidth="1"/>
    <col min="9" max="9" width="22.5703125" style="46" customWidth="1"/>
    <col min="10" max="10" width="15.85546875" style="46" hidden="1" customWidth="1"/>
    <col min="11" max="11" width="22.28515625" style="50" customWidth="1"/>
    <col min="12" max="12" width="29.5703125" style="46" customWidth="1"/>
    <col min="13" max="14" width="20.42578125" style="48" hidden="1" customWidth="1"/>
    <col min="15" max="16" width="20.42578125" style="49" hidden="1" customWidth="1"/>
    <col min="17" max="17" width="35.85546875" style="50" customWidth="1"/>
    <col min="18" max="18" width="20.28515625" style="50" hidden="1" customWidth="1"/>
    <col min="19" max="19" width="14.42578125" style="6" customWidth="1"/>
    <col min="20" max="21" width="59" style="7" customWidth="1"/>
    <col min="22" max="57" width="9.28515625" style="7"/>
  </cols>
  <sheetData>
    <row r="1" spans="1:19">
      <c r="B1" s="47" t="s">
        <v>53</v>
      </c>
    </row>
    <row r="2" spans="1:19" ht="23.1" customHeight="1">
      <c r="A2" s="34" t="s">
        <v>54</v>
      </c>
      <c r="B2" s="34" t="s">
        <v>55</v>
      </c>
      <c r="C2" s="34" t="s">
        <v>56</v>
      </c>
      <c r="D2" s="34" t="s">
        <v>57</v>
      </c>
      <c r="E2" s="34" t="s">
        <v>58</v>
      </c>
      <c r="F2" s="34" t="s">
        <v>59</v>
      </c>
      <c r="G2" s="34" t="s">
        <v>60</v>
      </c>
      <c r="H2" s="34" t="s">
        <v>61</v>
      </c>
      <c r="I2" s="34" t="s">
        <v>62</v>
      </c>
      <c r="J2" s="34" t="s">
        <v>63</v>
      </c>
      <c r="K2" s="33" t="s">
        <v>64</v>
      </c>
      <c r="L2" s="34" t="s">
        <v>65</v>
      </c>
      <c r="M2" s="51" t="s">
        <v>66</v>
      </c>
      <c r="N2" s="51" t="s">
        <v>67</v>
      </c>
      <c r="O2" s="52" t="s">
        <v>68</v>
      </c>
      <c r="P2" s="52" t="s">
        <v>69</v>
      </c>
      <c r="Q2" s="34" t="s">
        <v>65</v>
      </c>
      <c r="R2" s="33" t="s">
        <v>70</v>
      </c>
      <c r="S2" s="33" t="s">
        <v>71</v>
      </c>
    </row>
    <row r="3" spans="1:19" s="7" customFormat="1">
      <c r="A3" s="148">
        <v>1</v>
      </c>
      <c r="B3" s="149" t="s">
        <v>72</v>
      </c>
      <c r="C3" s="50" t="s">
        <v>17</v>
      </c>
      <c r="D3" s="50" t="s">
        <v>73</v>
      </c>
      <c r="E3" s="150" t="s">
        <v>74</v>
      </c>
      <c r="F3" s="151" t="s">
        <v>75</v>
      </c>
      <c r="G3" s="50" t="s">
        <v>76</v>
      </c>
      <c r="H3" s="158" t="s">
        <v>77</v>
      </c>
      <c r="I3" s="158" t="s">
        <v>72</v>
      </c>
      <c r="J3" s="152"/>
      <c r="K3" s="155">
        <v>46213</v>
      </c>
      <c r="L3" s="153" t="s">
        <v>78</v>
      </c>
      <c r="M3" s="148" t="s">
        <v>79</v>
      </c>
      <c r="N3" s="154">
        <v>44033</v>
      </c>
      <c r="O3" s="148" t="s">
        <v>79</v>
      </c>
      <c r="P3" s="154">
        <v>45516</v>
      </c>
      <c r="Q3" s="50" t="s">
        <v>80</v>
      </c>
      <c r="R3" s="50" t="s">
        <v>81</v>
      </c>
      <c r="S3" s="6" t="e">
        <f>VLOOKUP(D3,'Fixed Asset list'!G:I,3,FALSE)</f>
        <v>#N/A</v>
      </c>
    </row>
    <row r="4" spans="1:19" s="7" customFormat="1" ht="31.5">
      <c r="A4" s="50">
        <v>25</v>
      </c>
      <c r="B4" s="150" t="s">
        <v>82</v>
      </c>
      <c r="C4" s="50" t="s">
        <v>17</v>
      </c>
      <c r="D4" s="156" t="s">
        <v>83</v>
      </c>
      <c r="E4" s="156" t="s">
        <v>84</v>
      </c>
      <c r="F4" s="151" t="s">
        <v>85</v>
      </c>
      <c r="G4" s="157" t="s">
        <v>86</v>
      </c>
      <c r="H4" s="158" t="s">
        <v>77</v>
      </c>
      <c r="I4" s="50" t="s">
        <v>82</v>
      </c>
      <c r="J4" s="53" t="s">
        <v>81</v>
      </c>
      <c r="K4" s="155">
        <v>46213</v>
      </c>
      <c r="L4" s="159" t="s">
        <v>87</v>
      </c>
      <c r="M4" s="148" t="s">
        <v>88</v>
      </c>
      <c r="N4" s="154" t="s">
        <v>88</v>
      </c>
      <c r="O4" s="160" t="s">
        <v>88</v>
      </c>
      <c r="P4" s="154">
        <v>45516</v>
      </c>
      <c r="Q4" s="50"/>
      <c r="R4" s="50" t="s">
        <v>81</v>
      </c>
      <c r="S4" s="6" t="s">
        <v>7</v>
      </c>
    </row>
    <row r="5" spans="1:19" s="7" customFormat="1" ht="47.25">
      <c r="A5" s="50" t="s">
        <v>89</v>
      </c>
      <c r="B5" s="150" t="s">
        <v>90</v>
      </c>
      <c r="C5" s="50" t="s">
        <v>91</v>
      </c>
      <c r="D5" s="156" t="s">
        <v>92</v>
      </c>
      <c r="E5" s="156" t="s">
        <v>93</v>
      </c>
      <c r="F5" s="50" t="s">
        <v>94</v>
      </c>
      <c r="G5" s="50" t="s">
        <v>95</v>
      </c>
      <c r="H5" s="171" t="s">
        <v>96</v>
      </c>
      <c r="I5" s="50" t="s">
        <v>90</v>
      </c>
      <c r="J5" s="50" t="s">
        <v>18</v>
      </c>
      <c r="K5" s="155">
        <v>46213</v>
      </c>
      <c r="L5" s="50"/>
      <c r="M5" s="50"/>
      <c r="N5" s="50" t="s">
        <v>7</v>
      </c>
      <c r="O5" s="50" t="s">
        <v>81</v>
      </c>
      <c r="P5" s="50"/>
      <c r="Q5" s="50" t="s">
        <v>80</v>
      </c>
      <c r="R5" s="50"/>
      <c r="S5" s="6" t="s">
        <v>7</v>
      </c>
    </row>
    <row r="6" spans="1:19" s="7" customFormat="1">
      <c r="A6" s="50">
        <v>2</v>
      </c>
      <c r="B6" s="149" t="s">
        <v>97</v>
      </c>
      <c r="C6" s="50" t="s">
        <v>17</v>
      </c>
      <c r="D6" s="50" t="s">
        <v>98</v>
      </c>
      <c r="E6" s="150" t="s">
        <v>99</v>
      </c>
      <c r="F6" s="50" t="s">
        <v>100</v>
      </c>
      <c r="G6" s="50" t="s">
        <v>101</v>
      </c>
      <c r="H6" s="50" t="s">
        <v>102</v>
      </c>
      <c r="I6" s="158" t="s">
        <v>97</v>
      </c>
      <c r="J6" s="53"/>
      <c r="K6" s="155">
        <v>46213</v>
      </c>
      <c r="L6" s="50"/>
      <c r="M6" s="148" t="s">
        <v>88</v>
      </c>
      <c r="N6" s="154" t="s">
        <v>88</v>
      </c>
      <c r="O6" s="148" t="s">
        <v>79</v>
      </c>
      <c r="P6" s="154">
        <v>45516</v>
      </c>
      <c r="Q6" s="50" t="s">
        <v>103</v>
      </c>
      <c r="R6" s="50" t="s">
        <v>81</v>
      </c>
      <c r="S6" s="6" t="e">
        <f>VLOOKUP(D6,'Fixed Asset list'!G:I,3,FALSE)</f>
        <v>#N/A</v>
      </c>
    </row>
    <row r="7" spans="1:19" s="166" customFormat="1" ht="31.5">
      <c r="A7" s="158">
        <v>14</v>
      </c>
      <c r="B7" s="150" t="s">
        <v>104</v>
      </c>
      <c r="C7" s="158" t="s">
        <v>17</v>
      </c>
      <c r="D7" s="161" t="s">
        <v>105</v>
      </c>
      <c r="E7" s="150" t="s">
        <v>106</v>
      </c>
      <c r="F7" s="151" t="s">
        <v>107</v>
      </c>
      <c r="G7" s="162" t="s">
        <v>108</v>
      </c>
      <c r="H7" s="50" t="s">
        <v>109</v>
      </c>
      <c r="I7" s="50" t="s">
        <v>104</v>
      </c>
      <c r="J7" s="163"/>
      <c r="K7" s="155">
        <v>46213</v>
      </c>
      <c r="L7" s="164" t="s">
        <v>110</v>
      </c>
      <c r="M7" s="158" t="s">
        <v>79</v>
      </c>
      <c r="N7" s="165">
        <v>44033</v>
      </c>
      <c r="O7" s="158" t="s">
        <v>79</v>
      </c>
      <c r="P7" s="154">
        <v>45516</v>
      </c>
      <c r="Q7" s="158" t="s">
        <v>111</v>
      </c>
      <c r="R7" s="50" t="s">
        <v>81</v>
      </c>
      <c r="S7" s="6" t="s">
        <v>7</v>
      </c>
    </row>
    <row r="8" spans="1:19" s="7" customFormat="1" ht="31.5">
      <c r="A8" s="50">
        <v>22</v>
      </c>
      <c r="B8" s="150" t="s">
        <v>112</v>
      </c>
      <c r="C8" s="50" t="s">
        <v>17</v>
      </c>
      <c r="D8" s="156" t="s">
        <v>113</v>
      </c>
      <c r="E8" s="156" t="s">
        <v>114</v>
      </c>
      <c r="F8" s="156" t="s">
        <v>115</v>
      </c>
      <c r="G8" s="214" t="s">
        <v>116</v>
      </c>
      <c r="H8" s="50" t="s">
        <v>117</v>
      </c>
      <c r="I8" s="50" t="s">
        <v>118</v>
      </c>
      <c r="J8" s="53"/>
      <c r="K8" s="155">
        <v>46213</v>
      </c>
      <c r="L8" s="50"/>
      <c r="M8" s="148" t="s">
        <v>79</v>
      </c>
      <c r="N8" s="154">
        <v>44033</v>
      </c>
      <c r="O8" s="148" t="s">
        <v>79</v>
      </c>
      <c r="P8" s="154">
        <v>45516</v>
      </c>
      <c r="Q8" s="50"/>
      <c r="R8" s="50" t="s">
        <v>119</v>
      </c>
      <c r="S8" s="215" t="s">
        <v>120</v>
      </c>
    </row>
    <row r="9" spans="1:19" s="7" customFormat="1" ht="31.5">
      <c r="A9" s="50">
        <v>3</v>
      </c>
      <c r="B9" s="150" t="s">
        <v>1</v>
      </c>
      <c r="C9" s="50" t="s">
        <v>19</v>
      </c>
      <c r="D9" s="50" t="s">
        <v>121</v>
      </c>
      <c r="E9" s="150" t="s">
        <v>122</v>
      </c>
      <c r="F9" s="50" t="s">
        <v>123</v>
      </c>
      <c r="G9" s="156" t="s">
        <v>124</v>
      </c>
      <c r="H9" s="50" t="s">
        <v>117</v>
      </c>
      <c r="I9" s="50" t="s">
        <v>125</v>
      </c>
      <c r="J9" s="53"/>
      <c r="K9" s="155">
        <v>46213</v>
      </c>
      <c r="L9" s="50"/>
      <c r="M9" s="148" t="s">
        <v>79</v>
      </c>
      <c r="N9" s="154">
        <v>44033</v>
      </c>
      <c r="O9" s="148" t="s">
        <v>79</v>
      </c>
      <c r="P9" s="154">
        <v>45516</v>
      </c>
      <c r="Q9" s="50" t="s">
        <v>103</v>
      </c>
      <c r="R9" s="50" t="s">
        <v>81</v>
      </c>
      <c r="S9" s="6" t="e">
        <f>VLOOKUP(D9,'Fixed Asset list'!G:I,3,FALSE)</f>
        <v>#N/A</v>
      </c>
    </row>
    <row r="10" spans="1:19" s="7" customFormat="1" ht="36.75" customHeight="1">
      <c r="A10" s="50">
        <v>12</v>
      </c>
      <c r="B10" s="150" t="s">
        <v>126</v>
      </c>
      <c r="C10" s="50" t="s">
        <v>17</v>
      </c>
      <c r="D10" s="156" t="s">
        <v>127</v>
      </c>
      <c r="E10" s="50" t="s">
        <v>128</v>
      </c>
      <c r="F10" s="151" t="s">
        <v>129</v>
      </c>
      <c r="G10" s="216" t="s">
        <v>130</v>
      </c>
      <c r="H10" s="50" t="s">
        <v>131</v>
      </c>
      <c r="I10" s="50" t="s">
        <v>126</v>
      </c>
      <c r="J10" s="53"/>
      <c r="K10" s="155">
        <v>46213</v>
      </c>
      <c r="L10" s="50" t="s">
        <v>132</v>
      </c>
      <c r="M10" s="148" t="s">
        <v>79</v>
      </c>
      <c r="N10" s="154">
        <v>44033</v>
      </c>
      <c r="O10" s="148" t="s">
        <v>79</v>
      </c>
      <c r="P10" s="154">
        <v>45516</v>
      </c>
      <c r="Q10" s="50"/>
      <c r="R10" s="50" t="s">
        <v>133</v>
      </c>
      <c r="S10" s="6" t="s">
        <v>7</v>
      </c>
    </row>
    <row r="11" spans="1:19" s="7" customFormat="1" ht="31.5">
      <c r="A11" s="50">
        <v>23</v>
      </c>
      <c r="B11" s="150" t="s">
        <v>134</v>
      </c>
      <c r="C11" s="50" t="s">
        <v>17</v>
      </c>
      <c r="D11" s="156" t="s">
        <v>135</v>
      </c>
      <c r="E11" s="50" t="s">
        <v>136</v>
      </c>
      <c r="F11" s="50" t="s">
        <v>137</v>
      </c>
      <c r="G11" s="216" t="s">
        <v>138</v>
      </c>
      <c r="H11" s="50" t="s">
        <v>139</v>
      </c>
      <c r="I11" s="50" t="s">
        <v>134</v>
      </c>
      <c r="J11" s="53"/>
      <c r="K11" s="155">
        <v>46213</v>
      </c>
      <c r="L11" s="50" t="s">
        <v>132</v>
      </c>
      <c r="M11" s="148" t="s">
        <v>79</v>
      </c>
      <c r="N11" s="154">
        <v>44033</v>
      </c>
      <c r="O11" s="148" t="s">
        <v>79</v>
      </c>
      <c r="P11" s="154">
        <v>44746</v>
      </c>
      <c r="Q11" s="50"/>
      <c r="R11" s="50" t="s">
        <v>133</v>
      </c>
      <c r="S11" s="6" t="s">
        <v>7</v>
      </c>
    </row>
    <row r="12" spans="1:19" s="7" customFormat="1" ht="31.5">
      <c r="A12" s="50">
        <v>13</v>
      </c>
      <c r="B12" s="150" t="s">
        <v>140</v>
      </c>
      <c r="C12" s="50" t="s">
        <v>17</v>
      </c>
      <c r="D12" s="50" t="s">
        <v>141</v>
      </c>
      <c r="E12" s="150" t="s">
        <v>142</v>
      </c>
      <c r="F12" s="50" t="s">
        <v>143</v>
      </c>
      <c r="G12" s="216" t="s">
        <v>144</v>
      </c>
      <c r="H12" s="50" t="s">
        <v>96</v>
      </c>
      <c r="I12" s="50" t="s">
        <v>140</v>
      </c>
      <c r="J12" s="53" t="s">
        <v>145</v>
      </c>
      <c r="K12" s="155">
        <v>45610</v>
      </c>
      <c r="L12" s="50" t="s">
        <v>146</v>
      </c>
      <c r="M12" s="148" t="s">
        <v>79</v>
      </c>
      <c r="N12" s="154">
        <v>44033</v>
      </c>
      <c r="O12" s="148" t="s">
        <v>79</v>
      </c>
      <c r="P12" s="154">
        <v>45516</v>
      </c>
      <c r="Q12" s="156" t="s">
        <v>147</v>
      </c>
      <c r="R12" s="50" t="s">
        <v>81</v>
      </c>
      <c r="S12" s="6" t="e">
        <f>VLOOKUP(D12,'Fixed Asset list'!G:I,3,FALSE)</f>
        <v>#N/A</v>
      </c>
    </row>
    <row r="13" spans="1:19" s="7" customFormat="1">
      <c r="A13" s="50">
        <v>27</v>
      </c>
      <c r="B13" s="149" t="s">
        <v>148</v>
      </c>
      <c r="C13" s="50" t="s">
        <v>149</v>
      </c>
      <c r="D13" s="50" t="s">
        <v>150</v>
      </c>
      <c r="E13" s="50" t="s">
        <v>151</v>
      </c>
      <c r="F13" s="50" t="s">
        <v>152</v>
      </c>
      <c r="G13" s="50"/>
      <c r="H13" s="50" t="s">
        <v>96</v>
      </c>
      <c r="I13" s="50" t="s">
        <v>153</v>
      </c>
      <c r="J13" s="53" t="s">
        <v>145</v>
      </c>
      <c r="K13" s="155">
        <v>45602</v>
      </c>
      <c r="L13" s="50" t="s">
        <v>154</v>
      </c>
      <c r="M13" s="148" t="s">
        <v>88</v>
      </c>
      <c r="N13" s="154" t="s">
        <v>88</v>
      </c>
      <c r="O13" s="160" t="s">
        <v>88</v>
      </c>
      <c r="P13" s="154">
        <v>45516</v>
      </c>
      <c r="Q13" s="50"/>
      <c r="R13" s="50" t="s">
        <v>119</v>
      </c>
      <c r="S13" s="6" t="s">
        <v>7</v>
      </c>
    </row>
    <row r="14" spans="1:19" s="122" customFormat="1" ht="47.25">
      <c r="A14" s="115">
        <v>15</v>
      </c>
      <c r="B14" s="115" t="s">
        <v>155</v>
      </c>
      <c r="C14" s="115" t="s">
        <v>149</v>
      </c>
      <c r="D14" s="168" t="s">
        <v>156</v>
      </c>
      <c r="E14" s="116">
        <v>36744454553</v>
      </c>
      <c r="F14" s="115" t="s">
        <v>157</v>
      </c>
      <c r="G14" s="117" t="s">
        <v>158</v>
      </c>
      <c r="H14" s="115" t="s">
        <v>96</v>
      </c>
      <c r="I14" s="115" t="s">
        <v>159</v>
      </c>
      <c r="J14" s="118"/>
      <c r="K14" s="121">
        <v>45610</v>
      </c>
      <c r="L14" s="115" t="s">
        <v>160</v>
      </c>
      <c r="M14" s="119" t="s">
        <v>79</v>
      </c>
      <c r="N14" s="120">
        <v>44035</v>
      </c>
      <c r="O14" s="119"/>
      <c r="P14" s="120">
        <v>45516</v>
      </c>
      <c r="Q14" s="135" t="s">
        <v>161</v>
      </c>
      <c r="R14" s="115" t="s">
        <v>81</v>
      </c>
      <c r="S14" s="177" t="str">
        <f>VLOOKUP(D14,'Fixed Asset list'!G:I,3,FALSE)</f>
        <v>T3100057</v>
      </c>
    </row>
    <row r="15" spans="1:19" s="109" customFormat="1">
      <c r="A15" s="101">
        <v>16</v>
      </c>
      <c r="B15" s="101" t="s">
        <v>155</v>
      </c>
      <c r="C15" s="101" t="s">
        <v>19</v>
      </c>
      <c r="D15" s="169" t="s">
        <v>162</v>
      </c>
      <c r="E15" s="123" t="s">
        <v>163</v>
      </c>
      <c r="F15" s="101" t="s">
        <v>164</v>
      </c>
      <c r="G15" s="102" t="s">
        <v>165</v>
      </c>
      <c r="H15" s="101"/>
      <c r="I15" s="101" t="s">
        <v>166</v>
      </c>
      <c r="J15" s="103"/>
      <c r="K15" s="101"/>
      <c r="L15" s="101" t="s">
        <v>167</v>
      </c>
      <c r="M15" s="105" t="s">
        <v>79</v>
      </c>
      <c r="N15" s="106">
        <v>44035</v>
      </c>
      <c r="O15" s="105" t="s">
        <v>79</v>
      </c>
      <c r="P15" s="106">
        <v>45516</v>
      </c>
      <c r="Q15" s="101" t="s">
        <v>168</v>
      </c>
      <c r="R15" s="101" t="s">
        <v>119</v>
      </c>
      <c r="S15" s="178" t="str">
        <f>VLOOKUP(D15,'Fixed Asset list'!G:I,3,FALSE)</f>
        <v>T3100057</v>
      </c>
    </row>
    <row r="16" spans="1:19" s="109" customFormat="1">
      <c r="A16" s="101">
        <v>17</v>
      </c>
      <c r="B16" s="101" t="s">
        <v>155</v>
      </c>
      <c r="C16" s="101" t="s">
        <v>19</v>
      </c>
      <c r="D16" s="169" t="s">
        <v>169</v>
      </c>
      <c r="E16" s="123" t="s">
        <v>170</v>
      </c>
      <c r="F16" s="107" t="s">
        <v>171</v>
      </c>
      <c r="G16" s="102" t="s">
        <v>172</v>
      </c>
      <c r="H16" s="101"/>
      <c r="I16" s="101" t="s">
        <v>173</v>
      </c>
      <c r="J16" s="103"/>
      <c r="K16" s="108">
        <v>45610</v>
      </c>
      <c r="L16" s="101" t="s">
        <v>174</v>
      </c>
      <c r="M16" s="105" t="s">
        <v>79</v>
      </c>
      <c r="N16" s="106">
        <v>44035</v>
      </c>
      <c r="O16" s="105" t="s">
        <v>79</v>
      </c>
      <c r="P16" s="106">
        <v>45516</v>
      </c>
      <c r="Q16" s="101" t="s">
        <v>168</v>
      </c>
      <c r="R16" s="101" t="s">
        <v>81</v>
      </c>
      <c r="S16" s="178" t="str">
        <f>VLOOKUP(D16,'Fixed Asset list'!G:I,3,FALSE)</f>
        <v>T3100057</v>
      </c>
    </row>
    <row r="17" spans="1:19" s="109" customFormat="1" ht="60">
      <c r="A17" s="101">
        <v>21</v>
      </c>
      <c r="B17" s="101" t="s">
        <v>155</v>
      </c>
      <c r="C17" s="101" t="s">
        <v>17</v>
      </c>
      <c r="D17" s="101" t="s">
        <v>175</v>
      </c>
      <c r="E17" s="101" t="s">
        <v>176</v>
      </c>
      <c r="F17" s="101" t="s">
        <v>177</v>
      </c>
      <c r="G17" s="102" t="s">
        <v>178</v>
      </c>
      <c r="H17" s="101" t="s">
        <v>96</v>
      </c>
      <c r="I17" s="101" t="s">
        <v>179</v>
      </c>
      <c r="J17" s="103"/>
      <c r="K17" s="108">
        <v>45610</v>
      </c>
      <c r="L17" s="104" t="s">
        <v>132</v>
      </c>
      <c r="M17" s="105" t="s">
        <v>79</v>
      </c>
      <c r="N17" s="106">
        <v>44033</v>
      </c>
      <c r="O17" s="105" t="s">
        <v>79</v>
      </c>
      <c r="P17" s="106">
        <v>45516</v>
      </c>
      <c r="Q17" s="136" t="s">
        <v>180</v>
      </c>
      <c r="R17" s="101" t="s">
        <v>119</v>
      </c>
      <c r="S17" s="178" t="str">
        <f>VLOOKUP(D17,'Fixed Asset list'!G:I,3,FALSE)</f>
        <v>T3100057</v>
      </c>
    </row>
    <row r="18" spans="1:19" s="109" customFormat="1">
      <c r="A18" s="101">
        <v>4</v>
      </c>
      <c r="B18" s="101" t="s">
        <v>155</v>
      </c>
      <c r="C18" s="101" t="s">
        <v>17</v>
      </c>
      <c r="D18" s="101" t="s">
        <v>181</v>
      </c>
      <c r="E18" s="123" t="s">
        <v>182</v>
      </c>
      <c r="F18" s="101" t="s">
        <v>183</v>
      </c>
      <c r="G18" s="101" t="s">
        <v>184</v>
      </c>
      <c r="H18" s="101" t="s">
        <v>185</v>
      </c>
      <c r="I18" s="101" t="s">
        <v>186</v>
      </c>
      <c r="J18" s="103"/>
      <c r="K18" s="108">
        <v>45610</v>
      </c>
      <c r="L18" s="101" t="s">
        <v>187</v>
      </c>
      <c r="M18" s="105" t="s">
        <v>79</v>
      </c>
      <c r="N18" s="106">
        <v>44033</v>
      </c>
      <c r="O18" s="105" t="s">
        <v>79</v>
      </c>
      <c r="P18" s="106">
        <v>45516</v>
      </c>
      <c r="Q18" s="101" t="s">
        <v>168</v>
      </c>
      <c r="R18" s="101" t="s">
        <v>81</v>
      </c>
      <c r="S18" s="178" t="str">
        <f>VLOOKUP(D18,'Fixed Asset list'!G:I,3,FALSE)</f>
        <v>T3100057</v>
      </c>
    </row>
    <row r="19" spans="1:19" s="114" customFormat="1" ht="31.5">
      <c r="A19" s="110">
        <v>5</v>
      </c>
      <c r="B19" s="110" t="s">
        <v>155</v>
      </c>
      <c r="C19" s="110" t="s">
        <v>17</v>
      </c>
      <c r="D19" s="170" t="s">
        <v>188</v>
      </c>
      <c r="E19" s="110" t="s">
        <v>189</v>
      </c>
      <c r="F19" s="110" t="s">
        <v>190</v>
      </c>
      <c r="G19" s="111" t="s">
        <v>191</v>
      </c>
      <c r="H19" s="110" t="s">
        <v>185</v>
      </c>
      <c r="I19" s="110" t="s">
        <v>192</v>
      </c>
      <c r="J19" s="112"/>
      <c r="K19" s="108">
        <v>45610</v>
      </c>
      <c r="L19" s="110" t="s">
        <v>187</v>
      </c>
      <c r="M19" s="110" t="s">
        <v>79</v>
      </c>
      <c r="N19" s="113">
        <v>44033</v>
      </c>
      <c r="O19" s="110" t="s">
        <v>79</v>
      </c>
      <c r="P19" s="106">
        <v>45516</v>
      </c>
      <c r="Q19" s="101" t="s">
        <v>168</v>
      </c>
      <c r="R19" s="101" t="s">
        <v>119</v>
      </c>
      <c r="S19" s="178" t="s">
        <v>7</v>
      </c>
    </row>
    <row r="20" spans="1:19" s="114" customFormat="1" ht="31.5">
      <c r="A20" s="110">
        <v>6</v>
      </c>
      <c r="B20" s="110" t="s">
        <v>155</v>
      </c>
      <c r="C20" s="110" t="s">
        <v>17</v>
      </c>
      <c r="D20" s="170" t="s">
        <v>193</v>
      </c>
      <c r="E20" s="110" t="s">
        <v>194</v>
      </c>
      <c r="F20" s="110" t="s">
        <v>195</v>
      </c>
      <c r="G20" s="111" t="s">
        <v>196</v>
      </c>
      <c r="H20" s="110" t="s">
        <v>185</v>
      </c>
      <c r="I20" s="110" t="s">
        <v>197</v>
      </c>
      <c r="J20" s="112"/>
      <c r="K20" s="108">
        <v>45610</v>
      </c>
      <c r="L20" s="110" t="s">
        <v>187</v>
      </c>
      <c r="M20" s="110" t="s">
        <v>79</v>
      </c>
      <c r="N20" s="113">
        <v>44033</v>
      </c>
      <c r="O20" s="110" t="s">
        <v>79</v>
      </c>
      <c r="P20" s="106">
        <v>45516</v>
      </c>
      <c r="Q20" s="101" t="s">
        <v>168</v>
      </c>
      <c r="R20" s="101" t="s">
        <v>119</v>
      </c>
      <c r="S20" s="178" t="s">
        <v>7</v>
      </c>
    </row>
    <row r="21" spans="1:19" s="109" customFormat="1">
      <c r="A21" s="101">
        <v>7</v>
      </c>
      <c r="B21" s="101" t="s">
        <v>155</v>
      </c>
      <c r="C21" s="101" t="s">
        <v>17</v>
      </c>
      <c r="D21" s="101" t="s">
        <v>198</v>
      </c>
      <c r="E21" s="101" t="s">
        <v>199</v>
      </c>
      <c r="F21" s="101" t="s">
        <v>200</v>
      </c>
      <c r="G21" s="102" t="s">
        <v>201</v>
      </c>
      <c r="H21" s="101" t="s">
        <v>185</v>
      </c>
      <c r="I21" s="101" t="s">
        <v>202</v>
      </c>
      <c r="J21" s="103"/>
      <c r="K21" s="108">
        <v>45610</v>
      </c>
      <c r="L21" s="101" t="s">
        <v>187</v>
      </c>
      <c r="M21" s="101"/>
      <c r="N21" s="101"/>
      <c r="O21" s="105" t="s">
        <v>79</v>
      </c>
      <c r="P21" s="106">
        <v>45516</v>
      </c>
      <c r="Q21" s="101" t="s">
        <v>168</v>
      </c>
      <c r="R21" s="101" t="s">
        <v>119</v>
      </c>
      <c r="S21" s="178" t="str">
        <f>VLOOKUP(D21,'Fixed Asset list'!G:I,3,FALSE)</f>
        <v>T3100057</v>
      </c>
    </row>
    <row r="22" spans="1:19" s="114" customFormat="1" ht="31.5">
      <c r="A22" s="110">
        <v>9</v>
      </c>
      <c r="B22" s="110" t="s">
        <v>155</v>
      </c>
      <c r="C22" s="110" t="s">
        <v>17</v>
      </c>
      <c r="D22" s="170" t="s">
        <v>203</v>
      </c>
      <c r="E22" s="110" t="s">
        <v>204</v>
      </c>
      <c r="F22" s="110" t="s">
        <v>205</v>
      </c>
      <c r="G22" s="111" t="s">
        <v>206</v>
      </c>
      <c r="H22" s="110" t="s">
        <v>185</v>
      </c>
      <c r="I22" s="110" t="s">
        <v>207</v>
      </c>
      <c r="J22" s="112"/>
      <c r="K22" s="108">
        <v>45610</v>
      </c>
      <c r="L22" s="110" t="s">
        <v>187</v>
      </c>
      <c r="M22" s="110" t="s">
        <v>79</v>
      </c>
      <c r="N22" s="113">
        <v>44033</v>
      </c>
      <c r="O22" s="110" t="s">
        <v>79</v>
      </c>
      <c r="P22" s="106">
        <v>45516</v>
      </c>
      <c r="Q22" s="101" t="s">
        <v>168</v>
      </c>
      <c r="R22" s="101" t="s">
        <v>119</v>
      </c>
      <c r="S22" s="178" t="s">
        <v>7</v>
      </c>
    </row>
    <row r="23" spans="1:19" s="109" customFormat="1">
      <c r="A23" s="101">
        <v>10</v>
      </c>
      <c r="B23" s="101" t="s">
        <v>155</v>
      </c>
      <c r="C23" s="101" t="s">
        <v>17</v>
      </c>
      <c r="D23" s="101" t="s">
        <v>208</v>
      </c>
      <c r="E23" s="123" t="s">
        <v>209</v>
      </c>
      <c r="F23" s="101" t="s">
        <v>210</v>
      </c>
      <c r="G23" s="102" t="s">
        <v>211</v>
      </c>
      <c r="H23" s="101" t="s">
        <v>96</v>
      </c>
      <c r="I23" s="101" t="s">
        <v>212</v>
      </c>
      <c r="J23" s="103"/>
      <c r="K23" s="108">
        <v>45610</v>
      </c>
      <c r="L23" s="131" t="s">
        <v>213</v>
      </c>
      <c r="M23" s="105" t="s">
        <v>79</v>
      </c>
      <c r="N23" s="106">
        <v>44033</v>
      </c>
      <c r="O23" s="105" t="s">
        <v>79</v>
      </c>
      <c r="P23" s="106">
        <v>45516</v>
      </c>
      <c r="Q23" s="101" t="s">
        <v>168</v>
      </c>
      <c r="R23" s="101" t="s">
        <v>81</v>
      </c>
      <c r="S23" s="178" t="str">
        <f>VLOOKUP(D23,'Fixed Asset list'!G:I,3,FALSE)</f>
        <v>T3100057</v>
      </c>
    </row>
    <row r="24" spans="1:19" s="109" customFormat="1">
      <c r="A24" s="101">
        <v>11</v>
      </c>
      <c r="B24" s="101" t="s">
        <v>155</v>
      </c>
      <c r="C24" s="101" t="s">
        <v>17</v>
      </c>
      <c r="D24" s="101" t="s">
        <v>214</v>
      </c>
      <c r="E24" s="101" t="s">
        <v>215</v>
      </c>
      <c r="F24" s="101" t="s">
        <v>216</v>
      </c>
      <c r="G24" s="102" t="s">
        <v>217</v>
      </c>
      <c r="H24" s="101" t="s">
        <v>96</v>
      </c>
      <c r="I24" s="101" t="s">
        <v>218</v>
      </c>
      <c r="J24" s="103"/>
      <c r="K24" s="108">
        <v>45610</v>
      </c>
      <c r="L24" s="110" t="s">
        <v>187</v>
      </c>
      <c r="M24" s="105" t="s">
        <v>79</v>
      </c>
      <c r="N24" s="106">
        <v>44033</v>
      </c>
      <c r="O24" s="105" t="s">
        <v>79</v>
      </c>
      <c r="P24" s="106">
        <v>45516</v>
      </c>
      <c r="Q24" s="101" t="s">
        <v>168</v>
      </c>
      <c r="R24" s="101" t="s">
        <v>119</v>
      </c>
      <c r="S24" s="178" t="str">
        <f>VLOOKUP(D24,'Fixed Asset list'!G:I,3,FALSE)</f>
        <v>T3100057</v>
      </c>
    </row>
    <row r="25" spans="1:19" s="109" customFormat="1">
      <c r="A25" s="101">
        <v>8</v>
      </c>
      <c r="B25" s="101" t="s">
        <v>155</v>
      </c>
      <c r="C25" s="101" t="s">
        <v>17</v>
      </c>
      <c r="D25" s="101" t="s">
        <v>219</v>
      </c>
      <c r="E25" s="101" t="s">
        <v>220</v>
      </c>
      <c r="F25" s="101" t="s">
        <v>221</v>
      </c>
      <c r="G25" s="102" t="s">
        <v>222</v>
      </c>
      <c r="H25" s="101" t="s">
        <v>185</v>
      </c>
      <c r="I25" s="101" t="s">
        <v>223</v>
      </c>
      <c r="J25" s="103" t="s">
        <v>224</v>
      </c>
      <c r="K25" s="108">
        <v>45610</v>
      </c>
      <c r="L25" s="101" t="s">
        <v>187</v>
      </c>
      <c r="M25" s="105" t="s">
        <v>79</v>
      </c>
      <c r="N25" s="106">
        <v>44033</v>
      </c>
      <c r="O25" s="105" t="s">
        <v>79</v>
      </c>
      <c r="P25" s="106">
        <v>45516</v>
      </c>
      <c r="Q25" s="101"/>
      <c r="R25" s="101" t="s">
        <v>119</v>
      </c>
      <c r="S25" s="178" t="str">
        <f>VLOOKUP(D25,'Fixed Asset list'!G:I,3,FALSE)</f>
        <v>T3100057</v>
      </c>
    </row>
    <row r="26" spans="1:19" s="130" customFormat="1">
      <c r="A26" s="124">
        <v>18</v>
      </c>
      <c r="B26" s="124" t="s">
        <v>225</v>
      </c>
      <c r="C26" s="124" t="s">
        <v>17</v>
      </c>
      <c r="D26" s="124" t="s">
        <v>226</v>
      </c>
      <c r="E26" s="124" t="s">
        <v>227</v>
      </c>
      <c r="F26" s="124" t="s">
        <v>88</v>
      </c>
      <c r="G26" s="217" t="s">
        <v>228</v>
      </c>
      <c r="H26" s="124" t="s">
        <v>96</v>
      </c>
      <c r="I26" s="125">
        <v>191</v>
      </c>
      <c r="J26" s="126"/>
      <c r="K26" s="124">
        <v>46213</v>
      </c>
      <c r="L26" s="124" t="s">
        <v>229</v>
      </c>
      <c r="M26" s="127" t="s">
        <v>88</v>
      </c>
      <c r="N26" s="128" t="s">
        <v>88</v>
      </c>
      <c r="O26" s="129" t="s">
        <v>88</v>
      </c>
      <c r="P26" s="128">
        <v>45516</v>
      </c>
      <c r="Q26" s="124" t="s">
        <v>230</v>
      </c>
      <c r="R26" s="124" t="s">
        <v>119</v>
      </c>
      <c r="S26" s="218" t="s">
        <v>231</v>
      </c>
    </row>
    <row r="27" spans="1:19" s="130" customFormat="1">
      <c r="A27" s="124">
        <v>19</v>
      </c>
      <c r="B27" s="124" t="s">
        <v>225</v>
      </c>
      <c r="C27" s="124" t="s">
        <v>17</v>
      </c>
      <c r="D27" s="124" t="s">
        <v>232</v>
      </c>
      <c r="E27" s="124" t="s">
        <v>233</v>
      </c>
      <c r="F27" s="124" t="s">
        <v>88</v>
      </c>
      <c r="G27" s="217" t="s">
        <v>234</v>
      </c>
      <c r="H27" s="124" t="s">
        <v>96</v>
      </c>
      <c r="I27" s="125">
        <v>192</v>
      </c>
      <c r="J27" s="126"/>
      <c r="K27" s="124">
        <v>46213</v>
      </c>
      <c r="L27" s="124" t="s">
        <v>229</v>
      </c>
      <c r="M27" s="127" t="s">
        <v>88</v>
      </c>
      <c r="N27" s="124" t="s">
        <v>88</v>
      </c>
      <c r="O27" s="129" t="s">
        <v>88</v>
      </c>
      <c r="P27" s="128">
        <v>45516</v>
      </c>
      <c r="Q27" s="124" t="s">
        <v>230</v>
      </c>
      <c r="R27" s="124" t="s">
        <v>119</v>
      </c>
      <c r="S27" s="218" t="s">
        <v>235</v>
      </c>
    </row>
    <row r="28" spans="1:19" s="130" customFormat="1" ht="31.5">
      <c r="A28" s="124">
        <v>20</v>
      </c>
      <c r="B28" s="124" t="s">
        <v>236</v>
      </c>
      <c r="C28" s="124" t="s">
        <v>17</v>
      </c>
      <c r="D28" s="124" t="s">
        <v>237</v>
      </c>
      <c r="E28" s="219" t="s">
        <v>238</v>
      </c>
      <c r="F28" s="220" t="s">
        <v>88</v>
      </c>
      <c r="G28" s="217" t="s">
        <v>239</v>
      </c>
      <c r="H28" s="221" t="s">
        <v>240</v>
      </c>
      <c r="I28" s="125">
        <v>317</v>
      </c>
      <c r="J28" s="222"/>
      <c r="K28" s="124">
        <v>46213</v>
      </c>
      <c r="L28" s="124" t="s">
        <v>241</v>
      </c>
      <c r="M28" s="127" t="s">
        <v>88</v>
      </c>
      <c r="N28" s="128" t="s">
        <v>88</v>
      </c>
      <c r="O28" s="129" t="s">
        <v>88</v>
      </c>
      <c r="P28" s="128">
        <v>45516</v>
      </c>
      <c r="Q28" s="124" t="s">
        <v>242</v>
      </c>
      <c r="R28" s="124" t="s">
        <v>119</v>
      </c>
      <c r="S28" s="218" t="s">
        <v>235</v>
      </c>
    </row>
    <row r="29" spans="1:19" s="130" customFormat="1">
      <c r="A29" s="124">
        <v>24</v>
      </c>
      <c r="B29" s="124" t="s">
        <v>225</v>
      </c>
      <c r="C29" s="124" t="s">
        <v>17</v>
      </c>
      <c r="D29" s="223" t="s">
        <v>243</v>
      </c>
      <c r="E29" s="124" t="s">
        <v>244</v>
      </c>
      <c r="F29" s="223" t="s">
        <v>245</v>
      </c>
      <c r="G29" s="217" t="s">
        <v>246</v>
      </c>
      <c r="H29" s="124" t="s">
        <v>247</v>
      </c>
      <c r="I29" s="124" t="s">
        <v>248</v>
      </c>
      <c r="J29" s="126"/>
      <c r="K29" s="124">
        <v>46213</v>
      </c>
      <c r="L29" s="124" t="s">
        <v>229</v>
      </c>
      <c r="M29" s="127" t="s">
        <v>88</v>
      </c>
      <c r="N29" s="128" t="s">
        <v>88</v>
      </c>
      <c r="O29" s="129" t="s">
        <v>88</v>
      </c>
      <c r="P29" s="129" t="s">
        <v>88</v>
      </c>
      <c r="Q29" s="223"/>
      <c r="R29" s="124" t="s">
        <v>119</v>
      </c>
      <c r="S29" s="218" t="s">
        <v>249</v>
      </c>
    </row>
    <row r="30" spans="1:19" s="130" customFormat="1">
      <c r="A30" s="124">
        <v>28</v>
      </c>
      <c r="B30" s="124" t="s">
        <v>225</v>
      </c>
      <c r="C30" s="124" t="s">
        <v>17</v>
      </c>
      <c r="D30" s="124" t="s">
        <v>250</v>
      </c>
      <c r="E30" s="124" t="s">
        <v>251</v>
      </c>
      <c r="F30" s="124" t="s">
        <v>252</v>
      </c>
      <c r="G30" s="124" t="s">
        <v>253</v>
      </c>
      <c r="H30" s="124" t="s">
        <v>247</v>
      </c>
      <c r="I30" s="125">
        <v>315</v>
      </c>
      <c r="J30" s="126"/>
      <c r="K30" s="124">
        <v>46213</v>
      </c>
      <c r="L30" s="124" t="s">
        <v>241</v>
      </c>
      <c r="M30" s="127"/>
      <c r="N30" s="128"/>
      <c r="O30" s="129"/>
      <c r="P30" s="128"/>
      <c r="Q30" s="124"/>
      <c r="R30" s="124" t="s">
        <v>119</v>
      </c>
      <c r="S30" s="218" t="s">
        <v>254</v>
      </c>
    </row>
  </sheetData>
  <autoFilter ref="A2:N30" xr:uid="{00000000-0009-0000-0000-000000000000}">
    <sortState xmlns:xlrd2="http://schemas.microsoft.com/office/spreadsheetml/2017/richdata2" ref="A3:N29">
      <sortCondition ref="A2:A17"/>
    </sortState>
  </autoFilter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Group Box 1">
              <controlPr defaultSize="0" print="0" autoFill="0" autoPict="0">
                <anchor moveWithCells="1">
                  <from>
                    <xdr:col>4</xdr:col>
                    <xdr:colOff>38100</xdr:colOff>
                    <xdr:row>30</xdr:row>
                    <xdr:rowOff>0</xdr:rowOff>
                  </from>
                  <to>
                    <xdr:col>4</xdr:col>
                    <xdr:colOff>104775</xdr:colOff>
                    <xdr:row>30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opLeftCell="B1" workbookViewId="0">
      <selection activeCell="E28" sqref="E28"/>
    </sheetView>
  </sheetViews>
  <sheetFormatPr defaultRowHeight="15"/>
  <cols>
    <col min="1" max="1" width="5.5703125" customWidth="1"/>
    <col min="2" max="2" width="29.7109375" bestFit="1" customWidth="1"/>
    <col min="3" max="3" width="25" customWidth="1"/>
    <col min="4" max="4" width="27.7109375" customWidth="1"/>
    <col min="5" max="6" width="17" customWidth="1"/>
    <col min="7" max="7" width="18.5703125" customWidth="1"/>
    <col min="8" max="10" width="17" customWidth="1"/>
    <col min="11" max="11" width="17" hidden="1" customWidth="1"/>
    <col min="12" max="12" width="39.42578125" bestFit="1" customWidth="1"/>
    <col min="13" max="13" width="16.28515625" bestFit="1" customWidth="1"/>
    <col min="14" max="14" width="12.5703125" bestFit="1" customWidth="1"/>
  </cols>
  <sheetData>
    <row r="1" spans="1:14" ht="21">
      <c r="C1" s="45" t="s">
        <v>255</v>
      </c>
    </row>
    <row r="2" spans="1:14" ht="15.75">
      <c r="A2" s="26" t="s">
        <v>54</v>
      </c>
      <c r="B2" s="26" t="s">
        <v>55</v>
      </c>
      <c r="C2" s="26" t="s">
        <v>56</v>
      </c>
      <c r="D2" s="26" t="s">
        <v>57</v>
      </c>
      <c r="E2" s="26" t="s">
        <v>58</v>
      </c>
      <c r="F2" s="26" t="s">
        <v>59</v>
      </c>
      <c r="G2" s="26" t="s">
        <v>256</v>
      </c>
      <c r="H2" s="26" t="s">
        <v>61</v>
      </c>
      <c r="I2" s="26" t="s">
        <v>62</v>
      </c>
      <c r="J2" s="26" t="s">
        <v>257</v>
      </c>
      <c r="K2" s="1"/>
      <c r="L2" s="34" t="s">
        <v>65</v>
      </c>
      <c r="M2" s="34" t="s">
        <v>65</v>
      </c>
      <c r="N2" s="26" t="s">
        <v>71</v>
      </c>
    </row>
    <row r="3" spans="1:14">
      <c r="A3" s="27">
        <v>1</v>
      </c>
      <c r="B3" s="54" t="s">
        <v>258</v>
      </c>
      <c r="C3" s="27" t="s">
        <v>259</v>
      </c>
      <c r="D3" s="100" t="s">
        <v>260</v>
      </c>
      <c r="E3" s="27" t="s">
        <v>261</v>
      </c>
      <c r="F3" s="27" t="s">
        <v>262</v>
      </c>
      <c r="G3" s="27" t="s">
        <v>263</v>
      </c>
      <c r="H3" s="27" t="s">
        <v>15</v>
      </c>
      <c r="I3" s="55" t="s">
        <v>264</v>
      </c>
      <c r="J3" s="28" t="s">
        <v>265</v>
      </c>
      <c r="K3" s="27" t="s">
        <v>266</v>
      </c>
      <c r="L3" s="1"/>
      <c r="M3" s="1"/>
      <c r="N3" s="6" t="s">
        <v>7</v>
      </c>
    </row>
    <row r="4" spans="1:14">
      <c r="A4" s="27">
        <v>2</v>
      </c>
      <c r="B4" s="54" t="s">
        <v>267</v>
      </c>
      <c r="C4" s="27" t="s">
        <v>259</v>
      </c>
      <c r="D4" s="100" t="s">
        <v>268</v>
      </c>
      <c r="E4" s="27" t="s">
        <v>269</v>
      </c>
      <c r="F4" s="27" t="s">
        <v>270</v>
      </c>
      <c r="G4" s="27" t="s">
        <v>271</v>
      </c>
      <c r="H4" s="27" t="s">
        <v>15</v>
      </c>
      <c r="I4" s="55" t="s">
        <v>272</v>
      </c>
      <c r="J4" s="28" t="s">
        <v>273</v>
      </c>
      <c r="K4" s="27" t="s">
        <v>266</v>
      </c>
      <c r="L4" s="1"/>
      <c r="M4" s="1"/>
      <c r="N4" s="6" t="s">
        <v>7</v>
      </c>
    </row>
    <row r="5" spans="1:14">
      <c r="A5" s="27">
        <v>3</v>
      </c>
      <c r="B5" s="54" t="s">
        <v>274</v>
      </c>
      <c r="C5" s="27" t="s">
        <v>259</v>
      </c>
      <c r="D5" s="100" t="s">
        <v>275</v>
      </c>
      <c r="E5" s="27" t="s">
        <v>276</v>
      </c>
      <c r="F5" s="27" t="s">
        <v>277</v>
      </c>
      <c r="G5" s="27" t="s">
        <v>278</v>
      </c>
      <c r="H5" s="27" t="s">
        <v>15</v>
      </c>
      <c r="I5" s="55" t="s">
        <v>279</v>
      </c>
      <c r="J5" s="28" t="s">
        <v>273</v>
      </c>
      <c r="K5" s="27" t="s">
        <v>266</v>
      </c>
      <c r="L5" s="1"/>
      <c r="M5" s="1"/>
      <c r="N5" s="6" t="s">
        <v>7</v>
      </c>
    </row>
    <row r="6" spans="1:14">
      <c r="A6" s="27">
        <v>4</v>
      </c>
      <c r="B6" s="54" t="s">
        <v>280</v>
      </c>
      <c r="C6" s="27" t="s">
        <v>259</v>
      </c>
      <c r="D6" s="100" t="s">
        <v>281</v>
      </c>
      <c r="E6" s="27" t="s">
        <v>282</v>
      </c>
      <c r="F6" s="27" t="s">
        <v>283</v>
      </c>
      <c r="G6" s="27" t="s">
        <v>284</v>
      </c>
      <c r="H6" s="27" t="s">
        <v>15</v>
      </c>
      <c r="I6" s="55" t="s">
        <v>285</v>
      </c>
      <c r="J6" s="28" t="s">
        <v>273</v>
      </c>
      <c r="K6" s="27" t="s">
        <v>266</v>
      </c>
      <c r="L6" s="1"/>
      <c r="M6" s="1"/>
      <c r="N6" s="6" t="s">
        <v>7</v>
      </c>
    </row>
    <row r="7" spans="1:14">
      <c r="A7" s="27">
        <v>5</v>
      </c>
      <c r="B7" s="27" t="s">
        <v>286</v>
      </c>
      <c r="C7" s="27" t="s">
        <v>259</v>
      </c>
      <c r="D7" s="100" t="s">
        <v>287</v>
      </c>
      <c r="E7" s="27" t="s">
        <v>288</v>
      </c>
      <c r="F7" s="27" t="s">
        <v>289</v>
      </c>
      <c r="G7" s="27" t="s">
        <v>290</v>
      </c>
      <c r="H7" s="27" t="s">
        <v>15</v>
      </c>
      <c r="I7" s="55" t="s">
        <v>291</v>
      </c>
      <c r="J7" s="28" t="s">
        <v>273</v>
      </c>
      <c r="K7" s="27" t="s">
        <v>266</v>
      </c>
      <c r="L7" s="1"/>
      <c r="M7" s="1"/>
      <c r="N7" s="6" t="s">
        <v>7</v>
      </c>
    </row>
    <row r="8" spans="1:14">
      <c r="A8" s="27">
        <v>6</v>
      </c>
      <c r="B8" s="54" t="s">
        <v>292</v>
      </c>
      <c r="C8" s="27" t="s">
        <v>259</v>
      </c>
      <c r="D8" s="100" t="s">
        <v>293</v>
      </c>
      <c r="E8" s="27" t="s">
        <v>294</v>
      </c>
      <c r="F8" s="27" t="s">
        <v>295</v>
      </c>
      <c r="G8" s="27" t="s">
        <v>296</v>
      </c>
      <c r="H8" s="27" t="s">
        <v>15</v>
      </c>
      <c r="I8" s="55" t="s">
        <v>297</v>
      </c>
      <c r="J8" s="28" t="s">
        <v>273</v>
      </c>
      <c r="K8" s="27" t="s">
        <v>266</v>
      </c>
      <c r="L8" s="1"/>
      <c r="M8" s="1"/>
      <c r="N8" s="6" t="s">
        <v>7</v>
      </c>
    </row>
    <row r="9" spans="1:14">
      <c r="A9" s="27">
        <v>7</v>
      </c>
      <c r="B9" s="54" t="s">
        <v>298</v>
      </c>
      <c r="C9" s="27" t="s">
        <v>259</v>
      </c>
      <c r="D9" s="100" t="s">
        <v>299</v>
      </c>
      <c r="E9" s="27" t="s">
        <v>300</v>
      </c>
      <c r="F9" s="27" t="s">
        <v>301</v>
      </c>
      <c r="G9" s="99" t="s">
        <v>302</v>
      </c>
      <c r="H9" s="27" t="s">
        <v>15</v>
      </c>
      <c r="I9" s="55" t="s">
        <v>303</v>
      </c>
      <c r="J9" s="212">
        <v>46212</v>
      </c>
      <c r="K9" s="27" t="s">
        <v>266</v>
      </c>
      <c r="L9" s="1" t="s">
        <v>304</v>
      </c>
      <c r="M9" s="1"/>
      <c r="N9" s="6" t="s">
        <v>7</v>
      </c>
    </row>
    <row r="10" spans="1:14">
      <c r="A10" s="27">
        <v>8</v>
      </c>
      <c r="B10" s="54" t="s">
        <v>305</v>
      </c>
      <c r="C10" s="27" t="s">
        <v>259</v>
      </c>
      <c r="D10" s="100" t="s">
        <v>306</v>
      </c>
      <c r="E10" s="27" t="s">
        <v>307</v>
      </c>
      <c r="F10" s="27" t="s">
        <v>308</v>
      </c>
      <c r="G10" s="30" t="s">
        <v>309</v>
      </c>
      <c r="H10" s="27" t="s">
        <v>15</v>
      </c>
      <c r="I10" s="55" t="s">
        <v>310</v>
      </c>
      <c r="J10" s="212">
        <v>46212</v>
      </c>
      <c r="K10" s="27" t="s">
        <v>266</v>
      </c>
      <c r="L10" s="1"/>
      <c r="M10" s="1"/>
      <c r="N10" s="6" t="s">
        <v>7</v>
      </c>
    </row>
    <row r="11" spans="1:14">
      <c r="A11" s="27">
        <v>10</v>
      </c>
      <c r="B11" s="54" t="s">
        <v>311</v>
      </c>
      <c r="C11" s="27" t="s">
        <v>259</v>
      </c>
      <c r="D11" s="100" t="s">
        <v>312</v>
      </c>
      <c r="E11" s="27" t="s">
        <v>313</v>
      </c>
      <c r="F11" s="27" t="s">
        <v>314</v>
      </c>
      <c r="G11" s="30" t="s">
        <v>315</v>
      </c>
      <c r="H11" s="27" t="s">
        <v>15</v>
      </c>
      <c r="I11" s="55" t="s">
        <v>316</v>
      </c>
      <c r="J11" s="212">
        <v>46212</v>
      </c>
      <c r="K11" s="27" t="s">
        <v>266</v>
      </c>
      <c r="L11" s="1" t="s">
        <v>317</v>
      </c>
      <c r="M11" s="1"/>
      <c r="N11" s="6" t="s">
        <v>7</v>
      </c>
    </row>
    <row r="12" spans="1:14">
      <c r="A12" s="27">
        <v>11</v>
      </c>
      <c r="B12" s="27"/>
      <c r="C12" s="27" t="s">
        <v>318</v>
      </c>
      <c r="D12" s="27" t="s">
        <v>319</v>
      </c>
      <c r="E12" s="27" t="s">
        <v>320</v>
      </c>
      <c r="F12" s="27" t="s">
        <v>321</v>
      </c>
      <c r="G12" s="30" t="s">
        <v>322</v>
      </c>
      <c r="H12" s="27" t="s">
        <v>323</v>
      </c>
      <c r="I12" s="28"/>
      <c r="J12" s="28" t="s">
        <v>273</v>
      </c>
      <c r="K12" s="27" t="s">
        <v>266</v>
      </c>
      <c r="L12" s="1"/>
      <c r="M12" s="1"/>
      <c r="N12" s="6" t="s">
        <v>7</v>
      </c>
    </row>
    <row r="13" spans="1:14">
      <c r="A13" s="27">
        <v>12</v>
      </c>
      <c r="B13" s="27"/>
      <c r="C13" s="27" t="s">
        <v>318</v>
      </c>
      <c r="D13" s="27" t="s">
        <v>324</v>
      </c>
      <c r="E13" s="27" t="s">
        <v>325</v>
      </c>
      <c r="F13" s="27" t="s">
        <v>326</v>
      </c>
      <c r="G13" s="30" t="s">
        <v>327</v>
      </c>
      <c r="H13" s="27" t="s">
        <v>323</v>
      </c>
      <c r="I13" s="28"/>
      <c r="J13" s="28" t="s">
        <v>273</v>
      </c>
      <c r="K13" s="27" t="s">
        <v>266</v>
      </c>
      <c r="L13" s="1"/>
      <c r="M13" s="1"/>
      <c r="N13" s="6" t="s">
        <v>7</v>
      </c>
    </row>
    <row r="14" spans="1:14">
      <c r="A14" s="27">
        <v>13</v>
      </c>
      <c r="B14" s="27"/>
      <c r="C14" s="27" t="s">
        <v>318</v>
      </c>
      <c r="D14" s="27" t="s">
        <v>328</v>
      </c>
      <c r="E14" s="27" t="s">
        <v>329</v>
      </c>
      <c r="F14" s="27" t="s">
        <v>330</v>
      </c>
      <c r="G14" s="30" t="s">
        <v>331</v>
      </c>
      <c r="H14" s="27" t="s">
        <v>332</v>
      </c>
      <c r="I14" s="28"/>
      <c r="J14" s="28" t="s">
        <v>273</v>
      </c>
      <c r="K14" s="27" t="s">
        <v>266</v>
      </c>
      <c r="L14" s="1"/>
      <c r="M14" s="1"/>
      <c r="N14" s="6" t="s">
        <v>7</v>
      </c>
    </row>
    <row r="15" spans="1:14">
      <c r="A15" s="27">
        <v>14</v>
      </c>
      <c r="B15" s="27"/>
      <c r="C15" s="27" t="s">
        <v>318</v>
      </c>
      <c r="D15" s="27" t="s">
        <v>333</v>
      </c>
      <c r="E15" s="27" t="s">
        <v>334</v>
      </c>
      <c r="F15" s="27" t="s">
        <v>335</v>
      </c>
      <c r="G15" s="30" t="s">
        <v>336</v>
      </c>
      <c r="H15" s="27" t="s">
        <v>337</v>
      </c>
      <c r="I15" s="28"/>
      <c r="J15" s="28" t="s">
        <v>273</v>
      </c>
      <c r="K15" s="27" t="s">
        <v>266</v>
      </c>
      <c r="L15" s="1"/>
      <c r="M15" s="1"/>
      <c r="N15" s="1" t="s">
        <v>7</v>
      </c>
    </row>
    <row r="16" spans="1:14">
      <c r="A16" s="27">
        <v>15</v>
      </c>
      <c r="B16" s="56"/>
      <c r="C16" s="54" t="s">
        <v>338</v>
      </c>
      <c r="D16" s="54" t="s">
        <v>339</v>
      </c>
      <c r="E16" s="54" t="s">
        <v>340</v>
      </c>
      <c r="F16" s="54" t="s">
        <v>341</v>
      </c>
      <c r="G16" s="57" t="s">
        <v>339</v>
      </c>
      <c r="H16" s="54" t="s">
        <v>323</v>
      </c>
      <c r="I16" s="58"/>
      <c r="J16" s="59">
        <v>45608</v>
      </c>
      <c r="K16" s="1"/>
      <c r="L16" s="1"/>
      <c r="M16" s="1"/>
      <c r="N16" s="6" t="s">
        <v>9</v>
      </c>
    </row>
    <row r="17" spans="1:14">
      <c r="A17" s="27">
        <v>16</v>
      </c>
      <c r="B17" s="56"/>
      <c r="C17" s="56" t="s">
        <v>342</v>
      </c>
      <c r="D17" s="56" t="s">
        <v>343</v>
      </c>
      <c r="E17" s="70" t="s">
        <v>344</v>
      </c>
      <c r="F17" s="54" t="s">
        <v>88</v>
      </c>
      <c r="G17" s="57" t="s">
        <v>345</v>
      </c>
      <c r="H17" s="54" t="s">
        <v>346</v>
      </c>
      <c r="I17" s="58"/>
      <c r="J17" s="59">
        <v>45608</v>
      </c>
      <c r="K17" s="1"/>
      <c r="L17" s="1"/>
      <c r="M17" s="1"/>
      <c r="N17" s="6"/>
    </row>
    <row r="18" spans="1:14">
      <c r="A18" s="27">
        <v>17</v>
      </c>
      <c r="B18" s="56"/>
      <c r="C18" s="56" t="s">
        <v>342</v>
      </c>
      <c r="D18" s="56" t="s">
        <v>347</v>
      </c>
      <c r="E18" s="70" t="s">
        <v>348</v>
      </c>
      <c r="F18" s="54" t="s">
        <v>88</v>
      </c>
      <c r="G18" s="57" t="s">
        <v>349</v>
      </c>
      <c r="H18" s="54" t="s">
        <v>350</v>
      </c>
      <c r="I18" s="58"/>
      <c r="J18" s="59">
        <v>45608</v>
      </c>
      <c r="K18" s="1"/>
      <c r="L18" s="1"/>
      <c r="M18" s="1"/>
      <c r="N18" s="6"/>
    </row>
    <row r="19" spans="1:14">
      <c r="A19" s="27">
        <v>18</v>
      </c>
      <c r="B19" s="56"/>
      <c r="C19" s="56" t="s">
        <v>351</v>
      </c>
      <c r="D19" s="56" t="s">
        <v>352</v>
      </c>
      <c r="E19" s="70" t="s">
        <v>353</v>
      </c>
      <c r="F19" s="54" t="s">
        <v>88</v>
      </c>
      <c r="G19" s="57" t="s">
        <v>354</v>
      </c>
      <c r="H19" s="54" t="s">
        <v>323</v>
      </c>
      <c r="I19" s="56"/>
      <c r="J19" s="59">
        <v>45608</v>
      </c>
      <c r="K19" s="1"/>
      <c r="L19" s="1"/>
      <c r="M19" s="1"/>
      <c r="N19" s="6"/>
    </row>
    <row r="20" spans="1:14">
      <c r="A20" s="27">
        <v>19</v>
      </c>
      <c r="B20" s="56"/>
      <c r="C20" s="56" t="s">
        <v>351</v>
      </c>
      <c r="D20" s="54" t="s">
        <v>355</v>
      </c>
      <c r="E20" s="71" t="s">
        <v>356</v>
      </c>
      <c r="F20" s="54" t="s">
        <v>88</v>
      </c>
      <c r="G20" s="57" t="s">
        <v>357</v>
      </c>
      <c r="H20" s="54" t="s">
        <v>358</v>
      </c>
      <c r="I20" s="56"/>
      <c r="J20" s="59">
        <v>45608</v>
      </c>
      <c r="K20" s="1"/>
      <c r="L20" s="1"/>
      <c r="M20" s="1"/>
      <c r="N20" s="6"/>
    </row>
    <row r="21" spans="1:14">
      <c r="A21" s="27">
        <v>20</v>
      </c>
      <c r="B21" s="56"/>
      <c r="C21" s="54" t="s">
        <v>359</v>
      </c>
      <c r="D21" s="60" t="s">
        <v>360</v>
      </c>
      <c r="E21" s="70" t="s">
        <v>361</v>
      </c>
      <c r="F21" s="54" t="s">
        <v>88</v>
      </c>
      <c r="G21" s="54" t="s">
        <v>362</v>
      </c>
      <c r="H21" s="54" t="s">
        <v>358</v>
      </c>
      <c r="I21" s="56"/>
      <c r="J21" s="59">
        <v>45608</v>
      </c>
      <c r="K21" s="1"/>
      <c r="L21" s="1"/>
      <c r="M21" s="1"/>
      <c r="N21" s="6"/>
    </row>
    <row r="22" spans="1:14">
      <c r="A22" s="27">
        <v>21</v>
      </c>
      <c r="B22" s="1" t="s">
        <v>258</v>
      </c>
      <c r="C22" s="27" t="s">
        <v>363</v>
      </c>
      <c r="D22" s="31" t="s">
        <v>364</v>
      </c>
      <c r="E22" s="27" t="s">
        <v>365</v>
      </c>
      <c r="F22" s="27"/>
      <c r="G22" s="27"/>
      <c r="H22" s="1" t="s">
        <v>358</v>
      </c>
      <c r="I22" s="27"/>
      <c r="J22" s="212">
        <v>46212</v>
      </c>
      <c r="K22" s="1"/>
      <c r="L22" s="1"/>
      <c r="M22" s="1"/>
      <c r="N22" s="1"/>
    </row>
    <row r="23" spans="1:14">
      <c r="A23" s="27">
        <v>22</v>
      </c>
      <c r="B23" s="1" t="s">
        <v>267</v>
      </c>
      <c r="C23" s="27" t="s">
        <v>363</v>
      </c>
      <c r="D23" s="31" t="s">
        <v>364</v>
      </c>
      <c r="E23" s="27" t="s">
        <v>366</v>
      </c>
      <c r="F23" s="27"/>
      <c r="G23" s="30"/>
      <c r="H23" s="1" t="s">
        <v>358</v>
      </c>
      <c r="I23" s="211"/>
      <c r="J23" s="212">
        <v>46212</v>
      </c>
      <c r="K23" s="1"/>
      <c r="L23" s="1"/>
      <c r="M23" s="1"/>
      <c r="N23" s="1"/>
    </row>
    <row r="24" spans="1:14">
      <c r="A24" s="27">
        <v>23</v>
      </c>
      <c r="B24" s="1" t="s">
        <v>274</v>
      </c>
      <c r="C24" s="27" t="s">
        <v>363</v>
      </c>
      <c r="D24" s="31" t="s">
        <v>364</v>
      </c>
      <c r="E24" s="27" t="s">
        <v>367</v>
      </c>
      <c r="F24" s="27"/>
      <c r="G24" s="27"/>
      <c r="H24" s="1" t="s">
        <v>358</v>
      </c>
      <c r="I24" s="27"/>
      <c r="J24" s="212">
        <v>46212</v>
      </c>
      <c r="K24" s="1"/>
      <c r="L24" s="1" t="s">
        <v>368</v>
      </c>
      <c r="M24" s="1"/>
      <c r="N24" s="1"/>
    </row>
    <row r="25" spans="1:14">
      <c r="A25" s="27">
        <v>24</v>
      </c>
      <c r="B25" s="1" t="s">
        <v>280</v>
      </c>
      <c r="C25" s="27" t="s">
        <v>363</v>
      </c>
      <c r="D25" s="31" t="s">
        <v>364</v>
      </c>
      <c r="E25" s="27" t="s">
        <v>369</v>
      </c>
      <c r="F25" s="27"/>
      <c r="G25" s="30"/>
      <c r="H25" s="1" t="s">
        <v>358</v>
      </c>
      <c r="I25" s="211"/>
      <c r="J25" s="212">
        <v>46212</v>
      </c>
      <c r="K25" s="1"/>
      <c r="L25" s="1"/>
      <c r="M25" s="1"/>
      <c r="N25" s="1"/>
    </row>
    <row r="26" spans="1:14">
      <c r="A26" s="27">
        <v>25</v>
      </c>
      <c r="B26" s="1" t="s">
        <v>292</v>
      </c>
      <c r="C26" s="27" t="s">
        <v>363</v>
      </c>
      <c r="D26" s="31" t="s">
        <v>364</v>
      </c>
      <c r="E26" s="27" t="s">
        <v>370</v>
      </c>
      <c r="F26" s="27"/>
      <c r="G26" s="27"/>
      <c r="H26" s="1" t="s">
        <v>358</v>
      </c>
      <c r="I26" s="27"/>
      <c r="J26" s="212">
        <v>46212</v>
      </c>
      <c r="K26" s="1"/>
      <c r="L26" s="1"/>
      <c r="M26" s="1"/>
      <c r="N26" s="1"/>
    </row>
    <row r="27" spans="1:14">
      <c r="A27" s="27">
        <v>26</v>
      </c>
      <c r="B27" s="1" t="s">
        <v>305</v>
      </c>
      <c r="C27" s="27" t="s">
        <v>363</v>
      </c>
      <c r="D27" s="31" t="s">
        <v>364</v>
      </c>
      <c r="E27" s="27" t="s">
        <v>371</v>
      </c>
      <c r="F27" s="27"/>
      <c r="G27" s="30"/>
      <c r="H27" s="1" t="s">
        <v>358</v>
      </c>
      <c r="I27" s="211"/>
      <c r="J27" s="212">
        <v>46212</v>
      </c>
      <c r="K27" s="1"/>
      <c r="L27" s="1" t="s">
        <v>368</v>
      </c>
      <c r="M27" s="1"/>
      <c r="N27" s="1"/>
    </row>
    <row r="28" spans="1:14">
      <c r="A28" s="27">
        <v>27</v>
      </c>
      <c r="B28" s="27" t="s">
        <v>372</v>
      </c>
      <c r="C28" s="27" t="s">
        <v>363</v>
      </c>
      <c r="D28" s="31" t="s">
        <v>364</v>
      </c>
      <c r="E28" s="27" t="s">
        <v>373</v>
      </c>
      <c r="F28" s="27"/>
      <c r="G28" s="27"/>
      <c r="H28" s="27" t="s">
        <v>323</v>
      </c>
      <c r="I28" s="27"/>
      <c r="J28" s="212">
        <v>46212</v>
      </c>
      <c r="K28" s="1"/>
      <c r="L28" s="1"/>
      <c r="M28" s="1"/>
      <c r="N28" s="1"/>
    </row>
    <row r="29" spans="1:14">
      <c r="A29" s="27">
        <v>28</v>
      </c>
      <c r="B29" s="27" t="s">
        <v>374</v>
      </c>
      <c r="C29" s="27" t="s">
        <v>363</v>
      </c>
      <c r="D29" s="31" t="s">
        <v>364</v>
      </c>
      <c r="E29" s="27" t="s">
        <v>375</v>
      </c>
      <c r="F29" s="27"/>
      <c r="G29" s="30"/>
      <c r="H29" s="27" t="s">
        <v>323</v>
      </c>
      <c r="I29" s="211"/>
      <c r="J29" s="212">
        <v>46212</v>
      </c>
      <c r="K29" s="1"/>
      <c r="L29" s="1" t="s">
        <v>368</v>
      </c>
      <c r="M29" s="1"/>
      <c r="N29" s="1"/>
    </row>
  </sheetData>
  <conditionalFormatting sqref="C30:C32">
    <cfRule type="duplicateValues" dxfId="2" priority="1"/>
  </conditionalFormatting>
  <conditionalFormatting sqref="G33:G1048576 G1:G29">
    <cfRule type="duplicateValues" dxfId="1" priority="3"/>
  </conditionalFormatting>
  <conditionalFormatting sqref="N2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3"/>
  <sheetViews>
    <sheetView zoomScaleNormal="100" workbookViewId="0">
      <selection activeCell="P21" sqref="P21"/>
    </sheetView>
  </sheetViews>
  <sheetFormatPr defaultRowHeight="15"/>
  <cols>
    <col min="1" max="1" width="4.140625" style="4" bestFit="1" customWidth="1"/>
    <col min="2" max="2" width="38.140625" bestFit="1" customWidth="1"/>
    <col min="3" max="3" width="21.5703125" bestFit="1" customWidth="1"/>
    <col min="4" max="4" width="13.140625" bestFit="1" customWidth="1"/>
    <col min="5" max="5" width="17.140625" bestFit="1" customWidth="1"/>
    <col min="6" max="6" width="17.5703125" style="4" bestFit="1" customWidth="1"/>
    <col min="7" max="7" width="16.42578125" bestFit="1" customWidth="1"/>
    <col min="8" max="8" width="17.85546875" bestFit="1" customWidth="1"/>
    <col min="9" max="9" width="15.42578125" bestFit="1" customWidth="1"/>
    <col min="10" max="10" width="13.140625" bestFit="1" customWidth="1"/>
    <col min="11" max="11" width="27.5703125" bestFit="1" customWidth="1"/>
    <col min="12" max="12" width="16.28515625" bestFit="1" customWidth="1"/>
    <col min="13" max="13" width="14.140625" bestFit="1" customWidth="1"/>
  </cols>
  <sheetData>
    <row r="1" spans="1:13" ht="18.75">
      <c r="B1" s="43" t="s">
        <v>376</v>
      </c>
    </row>
    <row r="2" spans="1:13" s="38" customFormat="1" ht="15.75">
      <c r="A2" s="32" t="s">
        <v>54</v>
      </c>
      <c r="B2" s="34" t="s">
        <v>55</v>
      </c>
      <c r="C2" s="179" t="s">
        <v>56</v>
      </c>
      <c r="D2" s="182" t="s">
        <v>57</v>
      </c>
      <c r="E2" s="34" t="s">
        <v>58</v>
      </c>
      <c r="F2" s="32" t="s">
        <v>59</v>
      </c>
      <c r="G2" s="34" t="s">
        <v>377</v>
      </c>
      <c r="H2" s="34" t="s">
        <v>61</v>
      </c>
      <c r="I2" s="34" t="s">
        <v>62</v>
      </c>
      <c r="J2" s="224" t="s">
        <v>257</v>
      </c>
      <c r="K2" s="34" t="s">
        <v>65</v>
      </c>
      <c r="L2" s="34" t="s">
        <v>65</v>
      </c>
      <c r="M2" s="33" t="s">
        <v>71</v>
      </c>
    </row>
    <row r="3" spans="1:13">
      <c r="A3" s="35">
        <v>1</v>
      </c>
      <c r="B3" s="1" t="s">
        <v>378</v>
      </c>
      <c r="C3" s="29" t="s">
        <v>379</v>
      </c>
      <c r="D3" s="1" t="s">
        <v>380</v>
      </c>
      <c r="E3" s="1" t="s">
        <v>381</v>
      </c>
      <c r="F3" s="36" t="s">
        <v>382</v>
      </c>
      <c r="G3" s="1" t="s">
        <v>383</v>
      </c>
      <c r="H3" s="1" t="s">
        <v>384</v>
      </c>
      <c r="I3" s="36" t="s">
        <v>385</v>
      </c>
      <c r="J3" s="225" t="s">
        <v>386</v>
      </c>
      <c r="K3" s="1"/>
      <c r="L3" s="1"/>
      <c r="M3" s="1"/>
    </row>
    <row r="4" spans="1:13" s="186" customFormat="1">
      <c r="A4" s="185">
        <v>2</v>
      </c>
      <c r="B4" s="54" t="s">
        <v>387</v>
      </c>
      <c r="C4" s="55" t="s">
        <v>388</v>
      </c>
      <c r="D4" s="54" t="s">
        <v>389</v>
      </c>
      <c r="E4" s="54" t="s">
        <v>390</v>
      </c>
      <c r="F4" s="24" t="s">
        <v>391</v>
      </c>
      <c r="G4" s="54" t="s">
        <v>392</v>
      </c>
      <c r="H4" s="54" t="s">
        <v>393</v>
      </c>
      <c r="I4" s="24" t="s">
        <v>394</v>
      </c>
      <c r="J4" s="226" t="s">
        <v>386</v>
      </c>
      <c r="K4" s="54" t="s">
        <v>395</v>
      </c>
      <c r="L4" s="54"/>
      <c r="M4" s="54"/>
    </row>
    <row r="5" spans="1:13">
      <c r="A5" s="35">
        <v>3</v>
      </c>
      <c r="B5" s="30" t="s">
        <v>396</v>
      </c>
      <c r="C5" s="30" t="s">
        <v>397</v>
      </c>
      <c r="D5" s="30" t="s">
        <v>398</v>
      </c>
      <c r="E5" s="30" t="s">
        <v>399</v>
      </c>
      <c r="F5" s="167"/>
      <c r="G5" s="30" t="s">
        <v>400</v>
      </c>
      <c r="H5" s="1" t="s">
        <v>401</v>
      </c>
      <c r="I5" s="167" t="s">
        <v>402</v>
      </c>
      <c r="J5" s="225" t="s">
        <v>386</v>
      </c>
      <c r="K5" s="30"/>
      <c r="L5" s="1"/>
      <c r="M5" s="1"/>
    </row>
    <row r="6" spans="1:13">
      <c r="A6" s="35">
        <v>4</v>
      </c>
      <c r="B6" s="1" t="s">
        <v>403</v>
      </c>
      <c r="C6" s="29" t="s">
        <v>404</v>
      </c>
      <c r="D6" s="1" t="s">
        <v>405</v>
      </c>
      <c r="E6" s="1" t="s">
        <v>406</v>
      </c>
      <c r="F6" s="36" t="s">
        <v>407</v>
      </c>
      <c r="G6" s="1" t="s">
        <v>408</v>
      </c>
      <c r="H6" s="1" t="s">
        <v>409</v>
      </c>
      <c r="I6" s="36" t="s">
        <v>410</v>
      </c>
      <c r="J6" s="225" t="s">
        <v>386</v>
      </c>
      <c r="K6" s="1"/>
      <c r="L6" s="1"/>
      <c r="M6" s="1"/>
    </row>
    <row r="7" spans="1:13" s="186" customFormat="1">
      <c r="A7" s="185">
        <v>5</v>
      </c>
      <c r="B7" s="54" t="s">
        <v>411</v>
      </c>
      <c r="C7" s="55" t="s">
        <v>412</v>
      </c>
      <c r="D7" s="54" t="s">
        <v>413</v>
      </c>
      <c r="E7" s="54" t="s">
        <v>414</v>
      </c>
      <c r="F7" s="24" t="s">
        <v>415</v>
      </c>
      <c r="G7" s="54" t="s">
        <v>416</v>
      </c>
      <c r="H7" s="54" t="s">
        <v>417</v>
      </c>
      <c r="I7" s="24" t="s">
        <v>418</v>
      </c>
      <c r="J7" s="226" t="s">
        <v>386</v>
      </c>
      <c r="K7" s="54" t="s">
        <v>395</v>
      </c>
      <c r="L7" s="54"/>
      <c r="M7" s="54"/>
    </row>
    <row r="8" spans="1:13" s="186" customFormat="1">
      <c r="A8" s="185">
        <v>6</v>
      </c>
      <c r="B8" s="54" t="s">
        <v>419</v>
      </c>
      <c r="C8" s="54" t="s">
        <v>420</v>
      </c>
      <c r="D8" s="54" t="s">
        <v>421</v>
      </c>
      <c r="E8" s="54" t="s">
        <v>422</v>
      </c>
      <c r="F8" s="24" t="s">
        <v>423</v>
      </c>
      <c r="G8" s="54" t="s">
        <v>424</v>
      </c>
      <c r="H8" s="54" t="s">
        <v>425</v>
      </c>
      <c r="I8" s="24" t="s">
        <v>426</v>
      </c>
      <c r="J8" s="226" t="s">
        <v>386</v>
      </c>
      <c r="K8" s="54" t="s">
        <v>395</v>
      </c>
      <c r="L8" s="54"/>
      <c r="M8" s="54"/>
    </row>
    <row r="9" spans="1:13">
      <c r="A9" s="35">
        <v>7</v>
      </c>
      <c r="B9" s="1" t="s">
        <v>298</v>
      </c>
      <c r="C9" s="1" t="s">
        <v>427</v>
      </c>
      <c r="D9" s="1" t="s">
        <v>428</v>
      </c>
      <c r="E9" s="1" t="s">
        <v>429</v>
      </c>
      <c r="F9" s="36" t="s">
        <v>430</v>
      </c>
      <c r="G9" s="1" t="s">
        <v>431</v>
      </c>
      <c r="H9" s="1" t="s">
        <v>432</v>
      </c>
      <c r="I9" s="36" t="s">
        <v>433</v>
      </c>
      <c r="J9" s="225" t="s">
        <v>386</v>
      </c>
      <c r="K9" s="1"/>
      <c r="L9" s="1"/>
      <c r="M9" s="1"/>
    </row>
    <row r="10" spans="1:13">
      <c r="A10" s="35">
        <v>8</v>
      </c>
      <c r="B10" s="1" t="s">
        <v>434</v>
      </c>
      <c r="C10" s="30" t="s">
        <v>435</v>
      </c>
      <c r="D10" s="30" t="s">
        <v>436</v>
      </c>
      <c r="E10" s="30" t="s">
        <v>437</v>
      </c>
      <c r="F10" s="167"/>
      <c r="G10" s="30" t="s">
        <v>438</v>
      </c>
      <c r="H10" s="1" t="s">
        <v>439</v>
      </c>
      <c r="I10" s="167" t="s">
        <v>440</v>
      </c>
      <c r="J10" s="225" t="s">
        <v>386</v>
      </c>
      <c r="K10" s="1"/>
      <c r="L10" s="1"/>
      <c r="M10" s="1"/>
    </row>
    <row r="11" spans="1:13">
      <c r="A11" s="35">
        <v>9</v>
      </c>
      <c r="B11" s="30" t="s">
        <v>441</v>
      </c>
      <c r="C11" s="30" t="s">
        <v>442</v>
      </c>
      <c r="D11" s="30" t="s">
        <v>443</v>
      </c>
      <c r="E11" s="30" t="s">
        <v>444</v>
      </c>
      <c r="F11" s="167"/>
      <c r="G11" s="30" t="s">
        <v>445</v>
      </c>
      <c r="H11" s="1" t="s">
        <v>446</v>
      </c>
      <c r="I11" s="167" t="s">
        <v>447</v>
      </c>
      <c r="J11" s="225" t="s">
        <v>386</v>
      </c>
      <c r="K11" s="1"/>
      <c r="L11" s="1"/>
      <c r="M11" s="1"/>
    </row>
    <row r="12" spans="1:13">
      <c r="A12" s="35">
        <v>10</v>
      </c>
      <c r="B12" s="30" t="s">
        <v>448</v>
      </c>
      <c r="C12" s="29" t="s">
        <v>449</v>
      </c>
      <c r="D12" s="1" t="s">
        <v>450</v>
      </c>
      <c r="E12" s="1" t="s">
        <v>451</v>
      </c>
      <c r="F12" s="36" t="s">
        <v>452</v>
      </c>
      <c r="G12" s="1" t="s">
        <v>453</v>
      </c>
      <c r="H12" s="1" t="s">
        <v>454</v>
      </c>
      <c r="I12" s="36" t="s">
        <v>455</v>
      </c>
      <c r="J12" s="225" t="s">
        <v>386</v>
      </c>
      <c r="K12" s="1"/>
      <c r="L12" s="1"/>
      <c r="M12" s="1"/>
    </row>
    <row r="13" spans="1:13">
      <c r="A13" s="35">
        <v>11</v>
      </c>
      <c r="B13" s="30" t="s">
        <v>456</v>
      </c>
      <c r="C13" s="30" t="s">
        <v>457</v>
      </c>
      <c r="D13" s="30" t="s">
        <v>458</v>
      </c>
      <c r="E13" s="30" t="s">
        <v>459</v>
      </c>
      <c r="F13" s="167"/>
      <c r="G13" s="30" t="s">
        <v>460</v>
      </c>
      <c r="H13" s="1" t="s">
        <v>454</v>
      </c>
      <c r="I13" s="167" t="s">
        <v>461</v>
      </c>
      <c r="J13" s="225" t="s">
        <v>386</v>
      </c>
      <c r="K13" s="30"/>
      <c r="L13" s="1"/>
      <c r="M13" s="1"/>
    </row>
    <row r="14" spans="1:13" s="196" customFormat="1">
      <c r="A14" s="192">
        <v>12</v>
      </c>
      <c r="B14" s="193" t="s">
        <v>462</v>
      </c>
      <c r="C14" s="193" t="s">
        <v>463</v>
      </c>
      <c r="D14" s="193" t="s">
        <v>464</v>
      </c>
      <c r="E14" s="193" t="s">
        <v>465</v>
      </c>
      <c r="F14" s="194"/>
      <c r="G14" s="193" t="s">
        <v>466</v>
      </c>
      <c r="H14" s="193" t="s">
        <v>467</v>
      </c>
      <c r="I14" s="194"/>
      <c r="J14" s="197" t="s">
        <v>386</v>
      </c>
      <c r="K14" s="193" t="s">
        <v>468</v>
      </c>
      <c r="L14" s="193"/>
      <c r="M14" s="193"/>
    </row>
    <row r="15" spans="1:13" s="191" customFormat="1">
      <c r="A15" s="187">
        <v>13</v>
      </c>
      <c r="B15" s="188" t="s">
        <v>469</v>
      </c>
      <c r="C15" s="189" t="s">
        <v>470</v>
      </c>
      <c r="D15" s="188" t="s">
        <v>471</v>
      </c>
      <c r="E15" s="188" t="s">
        <v>472</v>
      </c>
      <c r="F15" s="190" t="s">
        <v>473</v>
      </c>
      <c r="G15" s="188" t="s">
        <v>474</v>
      </c>
      <c r="H15" s="188" t="s">
        <v>467</v>
      </c>
      <c r="I15" s="190"/>
      <c r="J15" s="227" t="s">
        <v>386</v>
      </c>
      <c r="K15" s="188" t="s">
        <v>475</v>
      </c>
      <c r="L15" s="188"/>
      <c r="M15" s="188"/>
    </row>
    <row r="16" spans="1:13" s="191" customFormat="1">
      <c r="A16" s="187">
        <v>14</v>
      </c>
      <c r="B16" s="188" t="s">
        <v>476</v>
      </c>
      <c r="C16" s="189" t="s">
        <v>477</v>
      </c>
      <c r="D16" s="188" t="s">
        <v>478</v>
      </c>
      <c r="E16" s="188" t="s">
        <v>479</v>
      </c>
      <c r="F16" s="190" t="s">
        <v>480</v>
      </c>
      <c r="G16" s="188" t="s">
        <v>481</v>
      </c>
      <c r="H16" s="188" t="s">
        <v>467</v>
      </c>
      <c r="I16" s="190" t="s">
        <v>88</v>
      </c>
      <c r="J16" s="227" t="s">
        <v>386</v>
      </c>
      <c r="K16" s="188" t="s">
        <v>475</v>
      </c>
      <c r="L16" s="188"/>
      <c r="M16" s="188"/>
    </row>
    <row r="17" spans="1:13" s="191" customFormat="1">
      <c r="A17" s="187">
        <v>15</v>
      </c>
      <c r="B17" s="188" t="s">
        <v>482</v>
      </c>
      <c r="C17" s="189" t="s">
        <v>483</v>
      </c>
      <c r="D17" s="188" t="s">
        <v>484</v>
      </c>
      <c r="E17" s="188" t="s">
        <v>485</v>
      </c>
      <c r="F17" s="190" t="s">
        <v>486</v>
      </c>
      <c r="G17" s="188" t="s">
        <v>487</v>
      </c>
      <c r="H17" s="188" t="s">
        <v>467</v>
      </c>
      <c r="I17" s="190"/>
      <c r="J17" s="227" t="s">
        <v>386</v>
      </c>
      <c r="K17" s="188" t="s">
        <v>475</v>
      </c>
      <c r="L17" s="188"/>
      <c r="M17" s="188"/>
    </row>
    <row r="18" spans="1:13" s="77" customFormat="1">
      <c r="A18" s="35">
        <v>16</v>
      </c>
      <c r="B18" s="1" t="s">
        <v>488</v>
      </c>
      <c r="C18" s="29" t="s">
        <v>489</v>
      </c>
      <c r="D18" s="1" t="s">
        <v>490</v>
      </c>
      <c r="E18" s="1" t="s">
        <v>491</v>
      </c>
      <c r="F18" s="36" t="s">
        <v>492</v>
      </c>
      <c r="G18" s="1" t="s">
        <v>493</v>
      </c>
      <c r="H18" s="1"/>
      <c r="I18" s="69"/>
      <c r="J18" s="225" t="s">
        <v>386</v>
      </c>
      <c r="K18" s="100"/>
      <c r="L18" s="100"/>
      <c r="M18" s="100"/>
    </row>
    <row r="19" spans="1:13">
      <c r="A19" s="1">
        <v>1</v>
      </c>
      <c r="B19" s="6" t="s">
        <v>411</v>
      </c>
      <c r="C19" s="180" t="s">
        <v>494</v>
      </c>
      <c r="D19" s="183" t="s">
        <v>88</v>
      </c>
      <c r="E19" s="97" t="s">
        <v>495</v>
      </c>
      <c r="F19" s="98" t="s">
        <v>88</v>
      </c>
      <c r="G19" s="97" t="s">
        <v>88</v>
      </c>
      <c r="H19" s="97" t="s">
        <v>496</v>
      </c>
      <c r="I19" s="97" t="s">
        <v>497</v>
      </c>
      <c r="J19" s="225" t="s">
        <v>386</v>
      </c>
      <c r="K19" s="1"/>
      <c r="L19" s="1"/>
      <c r="M19" s="1"/>
    </row>
    <row r="20" spans="1:13" s="204" customFormat="1">
      <c r="A20" s="199">
        <v>2</v>
      </c>
      <c r="B20" s="199" t="s">
        <v>387</v>
      </c>
      <c r="C20" s="200" t="s">
        <v>494</v>
      </c>
      <c r="D20" s="201" t="s">
        <v>88</v>
      </c>
      <c r="E20" s="202" t="s">
        <v>498</v>
      </c>
      <c r="F20" s="203" t="s">
        <v>88</v>
      </c>
      <c r="G20" s="202" t="s">
        <v>88</v>
      </c>
      <c r="H20" s="202" t="s">
        <v>499</v>
      </c>
      <c r="I20" s="202" t="s">
        <v>500</v>
      </c>
      <c r="J20" s="228" t="s">
        <v>386</v>
      </c>
      <c r="K20" s="229" t="s">
        <v>501</v>
      </c>
      <c r="L20" s="199"/>
      <c r="M20" s="199"/>
    </row>
    <row r="21" spans="1:13">
      <c r="A21" s="1">
        <v>3</v>
      </c>
      <c r="B21" s="1" t="s">
        <v>434</v>
      </c>
      <c r="C21" s="181" t="s">
        <v>494</v>
      </c>
      <c r="D21" s="184" t="s">
        <v>88</v>
      </c>
      <c r="E21" s="37" t="s">
        <v>502</v>
      </c>
      <c r="F21" s="167" t="s">
        <v>88</v>
      </c>
      <c r="G21" s="37" t="s">
        <v>88</v>
      </c>
      <c r="H21" s="37" t="s">
        <v>393</v>
      </c>
      <c r="I21" s="37" t="s">
        <v>503</v>
      </c>
      <c r="J21" s="225" t="s">
        <v>386</v>
      </c>
      <c r="K21" s="1"/>
      <c r="L21" s="1"/>
      <c r="M21" s="1"/>
    </row>
    <row r="22" spans="1:13">
      <c r="A22" s="1">
        <v>4</v>
      </c>
      <c r="B22" s="1" t="s">
        <v>403</v>
      </c>
      <c r="C22" s="181" t="s">
        <v>494</v>
      </c>
      <c r="D22" s="184" t="s">
        <v>88</v>
      </c>
      <c r="E22" s="37" t="s">
        <v>504</v>
      </c>
      <c r="F22" s="167" t="s">
        <v>88</v>
      </c>
      <c r="G22" s="37" t="s">
        <v>88</v>
      </c>
      <c r="H22" s="37" t="s">
        <v>505</v>
      </c>
      <c r="I22" s="37" t="s">
        <v>506</v>
      </c>
      <c r="J22" s="225" t="s">
        <v>386</v>
      </c>
      <c r="K22" s="1"/>
      <c r="L22" s="1"/>
      <c r="M22" s="1"/>
    </row>
    <row r="23" spans="1:13">
      <c r="A23" s="1">
        <v>5</v>
      </c>
      <c r="B23" s="1" t="s">
        <v>396</v>
      </c>
      <c r="C23" s="181" t="s">
        <v>494</v>
      </c>
      <c r="D23" s="184" t="s">
        <v>88</v>
      </c>
      <c r="E23" s="37" t="s">
        <v>507</v>
      </c>
      <c r="F23" s="167" t="s">
        <v>88</v>
      </c>
      <c r="G23" s="37" t="s">
        <v>88</v>
      </c>
      <c r="H23" s="37" t="s">
        <v>454</v>
      </c>
      <c r="I23" s="37" t="s">
        <v>508</v>
      </c>
      <c r="J23" s="225" t="s">
        <v>386</v>
      </c>
      <c r="K23" s="1"/>
      <c r="L23" s="1"/>
      <c r="M23" s="1"/>
    </row>
    <row r="24" spans="1:13" s="196" customFormat="1">
      <c r="A24" s="193">
        <v>6</v>
      </c>
      <c r="B24" s="193" t="s">
        <v>509</v>
      </c>
      <c r="C24" s="197" t="s">
        <v>494</v>
      </c>
      <c r="D24" s="198" t="s">
        <v>88</v>
      </c>
      <c r="E24" s="195" t="s">
        <v>510</v>
      </c>
      <c r="F24" s="194" t="s">
        <v>88</v>
      </c>
      <c r="G24" s="195" t="s">
        <v>88</v>
      </c>
      <c r="H24" s="195" t="s">
        <v>511</v>
      </c>
      <c r="I24" s="195" t="s">
        <v>512</v>
      </c>
      <c r="J24" s="197" t="s">
        <v>386</v>
      </c>
      <c r="K24" s="193" t="s">
        <v>513</v>
      </c>
      <c r="L24" s="193"/>
      <c r="M24" s="193"/>
    </row>
    <row r="25" spans="1:13" s="196" customFormat="1">
      <c r="A25" s="193">
        <v>7</v>
      </c>
      <c r="B25" s="193" t="s">
        <v>509</v>
      </c>
      <c r="C25" s="197" t="s">
        <v>494</v>
      </c>
      <c r="D25" s="198" t="s">
        <v>88</v>
      </c>
      <c r="E25" s="195" t="s">
        <v>502</v>
      </c>
      <c r="F25" s="194" t="s">
        <v>88</v>
      </c>
      <c r="G25" s="195" t="s">
        <v>88</v>
      </c>
      <c r="H25" s="195" t="s">
        <v>417</v>
      </c>
      <c r="I25" s="195" t="s">
        <v>514</v>
      </c>
      <c r="J25" s="197" t="s">
        <v>386</v>
      </c>
      <c r="K25" s="193" t="s">
        <v>513</v>
      </c>
      <c r="L25" s="193"/>
      <c r="M25" s="193"/>
    </row>
    <row r="26" spans="1:13" s="196" customFormat="1">
      <c r="A26" s="193">
        <v>8</v>
      </c>
      <c r="B26" s="193" t="s">
        <v>509</v>
      </c>
      <c r="C26" s="197" t="s">
        <v>494</v>
      </c>
      <c r="D26" s="198" t="s">
        <v>88</v>
      </c>
      <c r="E26" s="195" t="s">
        <v>515</v>
      </c>
      <c r="F26" s="194" t="s">
        <v>88</v>
      </c>
      <c r="G26" s="195" t="s">
        <v>88</v>
      </c>
      <c r="H26" s="195" t="s">
        <v>516</v>
      </c>
      <c r="I26" s="195" t="s">
        <v>517</v>
      </c>
      <c r="J26" s="197" t="s">
        <v>386</v>
      </c>
      <c r="K26" s="193" t="s">
        <v>513</v>
      </c>
      <c r="L26" s="193"/>
      <c r="M26" s="193"/>
    </row>
    <row r="27" spans="1:13">
      <c r="A27" s="1">
        <v>6</v>
      </c>
      <c r="B27" s="36" t="s">
        <v>518</v>
      </c>
      <c r="C27" s="36" t="s">
        <v>519</v>
      </c>
      <c r="D27" s="1"/>
      <c r="E27" s="36" t="s">
        <v>520</v>
      </c>
      <c r="F27" s="36"/>
      <c r="G27" s="1"/>
      <c r="H27" s="1"/>
      <c r="I27" s="1"/>
      <c r="J27" s="1"/>
      <c r="K27" s="1"/>
      <c r="L27" s="1"/>
      <c r="M27" s="1"/>
    </row>
    <row r="28" spans="1:13">
      <c r="A28" s="1">
        <v>7</v>
      </c>
      <c r="B28" s="36" t="s">
        <v>518</v>
      </c>
      <c r="C28" s="36" t="s">
        <v>519</v>
      </c>
      <c r="D28" s="1"/>
      <c r="E28" s="36" t="s">
        <v>521</v>
      </c>
      <c r="F28" s="36"/>
      <c r="G28" s="1"/>
      <c r="H28" s="1"/>
      <c r="I28" s="1"/>
      <c r="J28" s="1"/>
      <c r="K28" s="1"/>
      <c r="L28" s="1"/>
      <c r="M28" s="1"/>
    </row>
    <row r="29" spans="1:13">
      <c r="A29" s="1">
        <v>8</v>
      </c>
      <c r="B29" s="36" t="s">
        <v>518</v>
      </c>
      <c r="C29" s="36" t="s">
        <v>519</v>
      </c>
      <c r="D29" s="1"/>
      <c r="E29" s="36" t="s">
        <v>522</v>
      </c>
      <c r="F29" s="36"/>
      <c r="G29" s="1"/>
      <c r="H29" s="1"/>
      <c r="I29" s="1"/>
      <c r="J29" s="1"/>
      <c r="K29" s="1"/>
      <c r="L29" s="1"/>
      <c r="M29" s="1"/>
    </row>
    <row r="30" spans="1:13">
      <c r="A30" s="1">
        <v>9</v>
      </c>
      <c r="B30" s="36" t="s">
        <v>518</v>
      </c>
      <c r="C30" s="36" t="s">
        <v>519</v>
      </c>
      <c r="D30" s="1"/>
      <c r="E30" s="36" t="s">
        <v>523</v>
      </c>
      <c r="F30" s="36"/>
      <c r="G30" s="1"/>
      <c r="H30" s="1"/>
      <c r="I30" s="1"/>
      <c r="J30" s="1"/>
      <c r="K30" s="1"/>
      <c r="L30" s="1"/>
      <c r="M30" s="1"/>
    </row>
    <row r="31" spans="1:13">
      <c r="A31" s="1">
        <v>10</v>
      </c>
      <c r="B31" s="36" t="s">
        <v>518</v>
      </c>
      <c r="C31" s="36" t="s">
        <v>519</v>
      </c>
      <c r="D31" s="1"/>
      <c r="E31" s="36" t="s">
        <v>524</v>
      </c>
      <c r="F31" s="36"/>
      <c r="G31" s="1"/>
      <c r="H31" s="1"/>
      <c r="I31" s="1"/>
      <c r="J31" s="1"/>
      <c r="K31" s="1"/>
      <c r="L31" s="1"/>
      <c r="M31" s="1"/>
    </row>
    <row r="32" spans="1:13">
      <c r="A32" s="1">
        <v>11</v>
      </c>
      <c r="B32" s="36" t="s">
        <v>518</v>
      </c>
      <c r="C32" s="36" t="s">
        <v>519</v>
      </c>
      <c r="D32" s="1"/>
      <c r="E32" s="36" t="s">
        <v>525</v>
      </c>
      <c r="F32" s="36"/>
      <c r="G32" s="1"/>
      <c r="H32" s="1"/>
      <c r="I32" s="1"/>
      <c r="J32" s="1"/>
      <c r="K32" s="1"/>
      <c r="L32" s="1"/>
      <c r="M32" s="1"/>
    </row>
    <row r="33" spans="1:13">
      <c r="A33" s="1">
        <v>12</v>
      </c>
      <c r="B33" s="36" t="s">
        <v>518</v>
      </c>
      <c r="C33" s="36" t="s">
        <v>519</v>
      </c>
      <c r="D33" s="1"/>
      <c r="E33" s="36" t="s">
        <v>526</v>
      </c>
      <c r="F33" s="36"/>
      <c r="G33" s="1"/>
      <c r="H33" s="1"/>
      <c r="I33" s="1"/>
      <c r="J33" s="1"/>
      <c r="K33" s="1"/>
      <c r="L33" s="1"/>
      <c r="M33" s="1"/>
    </row>
    <row r="34" spans="1:13">
      <c r="A34" s="1">
        <v>13</v>
      </c>
      <c r="B34" s="36" t="s">
        <v>518</v>
      </c>
      <c r="C34" s="36" t="s">
        <v>519</v>
      </c>
      <c r="D34" s="1"/>
      <c r="E34" s="36" t="s">
        <v>527</v>
      </c>
      <c r="F34" s="36"/>
      <c r="G34" s="1"/>
      <c r="H34" s="1"/>
      <c r="I34" s="1"/>
      <c r="J34" s="1"/>
      <c r="K34" s="1"/>
      <c r="L34" s="1"/>
      <c r="M34" s="1"/>
    </row>
    <row r="35" spans="1:13">
      <c r="A35" s="1">
        <v>14</v>
      </c>
      <c r="B35" s="36" t="s">
        <v>518</v>
      </c>
      <c r="C35" s="36" t="s">
        <v>519</v>
      </c>
      <c r="D35" s="1"/>
      <c r="E35" s="36" t="s">
        <v>528</v>
      </c>
      <c r="F35" s="36"/>
      <c r="G35" s="1"/>
      <c r="H35" s="1"/>
      <c r="I35" s="1"/>
      <c r="J35" s="1"/>
      <c r="K35" s="1"/>
      <c r="L35" s="1"/>
      <c r="M35" s="1"/>
    </row>
    <row r="36" spans="1:13">
      <c r="A36" s="1">
        <v>15</v>
      </c>
      <c r="B36" s="36" t="s">
        <v>518</v>
      </c>
      <c r="C36" s="36" t="s">
        <v>519</v>
      </c>
      <c r="D36" s="1"/>
      <c r="E36" s="36" t="s">
        <v>529</v>
      </c>
      <c r="F36" s="36"/>
      <c r="G36" s="1"/>
      <c r="H36" s="1"/>
      <c r="I36" s="1"/>
      <c r="J36" s="1"/>
      <c r="K36" s="1"/>
      <c r="L36" s="1"/>
      <c r="M36" s="1"/>
    </row>
    <row r="41" spans="1:13">
      <c r="B41" s="39" t="s">
        <v>530</v>
      </c>
    </row>
    <row r="43" spans="1:13">
      <c r="B43" s="39" t="s">
        <v>531</v>
      </c>
    </row>
  </sheetData>
  <phoneticPr fontId="12" type="noConversion"/>
  <pageMargins left="0.7" right="0.7" top="0.75" bottom="0.75" header="0.3" footer="0.3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zoomScale="85" zoomScaleNormal="85" workbookViewId="0">
      <selection activeCell="K22" sqref="K22"/>
    </sheetView>
  </sheetViews>
  <sheetFormatPr defaultColWidth="9.28515625" defaultRowHeight="15"/>
  <cols>
    <col min="1" max="1" width="7.85546875" bestFit="1" customWidth="1"/>
    <col min="2" max="2" width="23.85546875" bestFit="1" customWidth="1"/>
    <col min="3" max="3" width="27.5703125" bestFit="1" customWidth="1"/>
    <col min="4" max="4" width="15.42578125" bestFit="1" customWidth="1"/>
    <col min="5" max="5" width="26.140625" bestFit="1" customWidth="1"/>
    <col min="6" max="6" width="19" bestFit="1" customWidth="1"/>
    <col min="7" max="7" width="18.42578125" bestFit="1" customWidth="1"/>
    <col min="8" max="8" width="21" bestFit="1" customWidth="1"/>
    <col min="9" max="9" width="14.28515625" style="133" bestFit="1" customWidth="1"/>
    <col min="10" max="10" width="14.5703125" bestFit="1" customWidth="1"/>
    <col min="11" max="11" width="36.5703125" bestFit="1" customWidth="1"/>
    <col min="12" max="12" width="9.5703125" style="5" hidden="1" customWidth="1"/>
    <col min="13" max="14" width="16.5703125" style="5" hidden="1" customWidth="1"/>
    <col min="15" max="15" width="13.42578125" style="5" hidden="1" customWidth="1"/>
    <col min="16" max="16" width="17.140625" hidden="1" customWidth="1"/>
    <col min="17" max="17" width="17.140625" style="230" customWidth="1"/>
    <col min="18" max="18" width="25.7109375" bestFit="1" customWidth="1"/>
    <col min="21" max="21" width="15.7109375" customWidth="1"/>
  </cols>
  <sheetData>
    <row r="1" spans="1:18" ht="18.75">
      <c r="B1" s="44"/>
      <c r="C1" s="232" t="s">
        <v>532</v>
      </c>
      <c r="D1" s="213"/>
      <c r="E1" s="233"/>
      <c r="Q1" s="234"/>
    </row>
    <row r="2" spans="1:18" ht="15.75">
      <c r="A2" s="2" t="s">
        <v>54</v>
      </c>
      <c r="B2" s="2" t="s">
        <v>55</v>
      </c>
      <c r="C2" s="2" t="s">
        <v>56</v>
      </c>
      <c r="D2" s="34" t="s">
        <v>533</v>
      </c>
      <c r="E2" s="2" t="s">
        <v>58</v>
      </c>
      <c r="F2" s="2" t="s">
        <v>59</v>
      </c>
      <c r="G2" s="2" t="s">
        <v>60</v>
      </c>
      <c r="H2" s="2" t="s">
        <v>61</v>
      </c>
      <c r="I2" s="209" t="s">
        <v>62</v>
      </c>
      <c r="J2" s="2" t="s">
        <v>257</v>
      </c>
      <c r="K2" s="2" t="s">
        <v>65</v>
      </c>
      <c r="L2" s="18" t="s">
        <v>66</v>
      </c>
      <c r="M2" s="18" t="s">
        <v>67</v>
      </c>
      <c r="N2" s="18" t="s">
        <v>68</v>
      </c>
      <c r="O2" s="18" t="s">
        <v>69</v>
      </c>
      <c r="P2" s="18" t="s">
        <v>70</v>
      </c>
      <c r="Q2" s="231" t="s">
        <v>65</v>
      </c>
      <c r="R2" s="18" t="s">
        <v>6</v>
      </c>
    </row>
    <row r="3" spans="1:18">
      <c r="A3" s="3">
        <v>1</v>
      </c>
      <c r="B3" s="1" t="s">
        <v>534</v>
      </c>
      <c r="C3" s="1" t="s">
        <v>17</v>
      </c>
      <c r="D3" s="1" t="s">
        <v>535</v>
      </c>
      <c r="E3" s="236" t="s">
        <v>536</v>
      </c>
      <c r="F3" s="1" t="s">
        <v>537</v>
      </c>
      <c r="G3" s="1" t="s">
        <v>538</v>
      </c>
      <c r="H3" s="1" t="s">
        <v>539</v>
      </c>
      <c r="I3" s="78"/>
      <c r="J3" s="61">
        <v>44007</v>
      </c>
      <c r="K3" s="3"/>
      <c r="L3" s="19" t="s">
        <v>79</v>
      </c>
      <c r="M3" s="20">
        <v>44035</v>
      </c>
      <c r="N3" s="21" t="s">
        <v>79</v>
      </c>
      <c r="O3" s="22">
        <v>44746</v>
      </c>
      <c r="P3" s="1" t="s">
        <v>540</v>
      </c>
      <c r="R3" s="1" t="e">
        <v>#N/A</v>
      </c>
    </row>
    <row r="4" spans="1:18">
      <c r="A4" s="3">
        <v>2</v>
      </c>
      <c r="B4" s="1" t="s">
        <v>155</v>
      </c>
      <c r="C4" s="1" t="s">
        <v>19</v>
      </c>
      <c r="D4" s="1"/>
      <c r="E4" s="236" t="s">
        <v>541</v>
      </c>
      <c r="F4" s="1" t="s">
        <v>542</v>
      </c>
      <c r="G4" s="1" t="s">
        <v>543</v>
      </c>
      <c r="H4" s="1" t="s">
        <v>544</v>
      </c>
      <c r="I4" s="78" t="s">
        <v>545</v>
      </c>
      <c r="J4" s="61">
        <v>44007</v>
      </c>
      <c r="K4" s="3"/>
      <c r="L4" s="19" t="s">
        <v>79</v>
      </c>
      <c r="M4" s="20">
        <v>44033</v>
      </c>
      <c r="N4" s="21" t="s">
        <v>79</v>
      </c>
      <c r="O4" s="22">
        <v>44746</v>
      </c>
      <c r="P4" s="1" t="s">
        <v>540</v>
      </c>
      <c r="R4" s="1" t="e">
        <v>#N/A</v>
      </c>
    </row>
    <row r="5" spans="1:18">
      <c r="A5" s="3">
        <v>3</v>
      </c>
      <c r="B5" s="1" t="s">
        <v>155</v>
      </c>
      <c r="C5" s="1" t="s">
        <v>19</v>
      </c>
      <c r="D5" s="1" t="s">
        <v>546</v>
      </c>
      <c r="E5" s="236" t="s">
        <v>547</v>
      </c>
      <c r="F5" s="1" t="s">
        <v>548</v>
      </c>
      <c r="G5" s="1" t="s">
        <v>549</v>
      </c>
      <c r="H5" s="1" t="s">
        <v>550</v>
      </c>
      <c r="I5" s="78" t="s">
        <v>551</v>
      </c>
      <c r="J5" s="61">
        <v>44007</v>
      </c>
      <c r="K5" s="62"/>
      <c r="L5" s="19" t="s">
        <v>79</v>
      </c>
      <c r="M5" s="20">
        <v>44035</v>
      </c>
      <c r="N5" s="21" t="s">
        <v>79</v>
      </c>
      <c r="O5" s="22">
        <v>44746</v>
      </c>
      <c r="P5" s="1" t="s">
        <v>540</v>
      </c>
      <c r="R5" s="1" t="e">
        <v>#N/A</v>
      </c>
    </row>
    <row r="6" spans="1:18">
      <c r="A6" s="3">
        <v>4</v>
      </c>
      <c r="B6" s="1" t="s">
        <v>155</v>
      </c>
      <c r="C6" s="1" t="s">
        <v>19</v>
      </c>
      <c r="D6" s="1"/>
      <c r="E6" s="236" t="s">
        <v>552</v>
      </c>
      <c r="F6" s="1" t="s">
        <v>553</v>
      </c>
      <c r="G6" s="1" t="s">
        <v>554</v>
      </c>
      <c r="H6" s="1" t="s">
        <v>555</v>
      </c>
      <c r="I6" s="78" t="s">
        <v>556</v>
      </c>
      <c r="J6" s="61">
        <v>44007</v>
      </c>
      <c r="K6" s="3"/>
      <c r="L6" s="19" t="s">
        <v>79</v>
      </c>
      <c r="M6" s="20">
        <v>44035</v>
      </c>
      <c r="N6" s="21" t="s">
        <v>79</v>
      </c>
      <c r="O6" s="22">
        <v>44746</v>
      </c>
      <c r="P6" s="1" t="s">
        <v>540</v>
      </c>
      <c r="R6" s="1" t="e">
        <v>#N/A</v>
      </c>
    </row>
    <row r="7" spans="1:18">
      <c r="A7" s="3">
        <v>5</v>
      </c>
      <c r="B7" s="1" t="s">
        <v>155</v>
      </c>
      <c r="C7" s="1" t="s">
        <v>19</v>
      </c>
      <c r="D7" s="1"/>
      <c r="E7" s="1" t="s">
        <v>557</v>
      </c>
      <c r="F7" s="1" t="s">
        <v>558</v>
      </c>
      <c r="G7" s="1" t="s">
        <v>559</v>
      </c>
      <c r="H7" s="1" t="s">
        <v>560</v>
      </c>
      <c r="I7" s="78" t="s">
        <v>561</v>
      </c>
      <c r="J7" s="61">
        <v>44007</v>
      </c>
      <c r="K7" s="62" t="s">
        <v>562</v>
      </c>
      <c r="L7" s="19" t="s">
        <v>79</v>
      </c>
      <c r="M7" s="20">
        <v>44035</v>
      </c>
      <c r="N7" s="21" t="s">
        <v>79</v>
      </c>
      <c r="O7" s="22">
        <v>44746</v>
      </c>
      <c r="P7" s="1"/>
      <c r="R7" s="1" t="s">
        <v>563</v>
      </c>
    </row>
    <row r="8" spans="1:18">
      <c r="A8" s="3">
        <v>6</v>
      </c>
      <c r="B8" s="1" t="s">
        <v>155</v>
      </c>
      <c r="C8" s="1" t="s">
        <v>19</v>
      </c>
      <c r="D8" s="1"/>
      <c r="E8" s="236" t="s">
        <v>564</v>
      </c>
      <c r="F8" s="1" t="s">
        <v>565</v>
      </c>
      <c r="G8" s="1" t="s">
        <v>566</v>
      </c>
      <c r="H8" s="1" t="s">
        <v>567</v>
      </c>
      <c r="I8" s="78" t="s">
        <v>568</v>
      </c>
      <c r="J8" s="61">
        <v>44007</v>
      </c>
      <c r="K8" s="3"/>
      <c r="L8" s="19" t="s">
        <v>79</v>
      </c>
      <c r="M8" s="20">
        <v>44035</v>
      </c>
      <c r="N8" s="21" t="s">
        <v>79</v>
      </c>
      <c r="O8" s="22">
        <v>44746</v>
      </c>
      <c r="P8" s="1" t="s">
        <v>540</v>
      </c>
      <c r="R8" s="1" t="e">
        <v>#N/A</v>
      </c>
    </row>
    <row r="9" spans="1:18">
      <c r="A9" s="3">
        <v>7</v>
      </c>
      <c r="B9" s="1" t="s">
        <v>155</v>
      </c>
      <c r="C9" s="1" t="s">
        <v>19</v>
      </c>
      <c r="D9" s="1"/>
      <c r="E9" s="236" t="s">
        <v>569</v>
      </c>
      <c r="F9" s="1" t="s">
        <v>570</v>
      </c>
      <c r="G9" s="1" t="s">
        <v>571</v>
      </c>
      <c r="H9" s="1" t="s">
        <v>572</v>
      </c>
      <c r="I9" s="78" t="s">
        <v>573</v>
      </c>
      <c r="J9" s="61">
        <v>44007</v>
      </c>
      <c r="K9" s="1"/>
      <c r="L9" s="19" t="s">
        <v>79</v>
      </c>
      <c r="M9" s="20">
        <v>44033</v>
      </c>
      <c r="N9" s="21" t="s">
        <v>79</v>
      </c>
      <c r="O9" s="22">
        <v>44746</v>
      </c>
      <c r="P9" s="1" t="s">
        <v>540</v>
      </c>
      <c r="R9" s="1" t="e">
        <v>#N/A</v>
      </c>
    </row>
    <row r="10" spans="1:18">
      <c r="A10" s="3">
        <v>8</v>
      </c>
      <c r="B10" s="1" t="s">
        <v>155</v>
      </c>
      <c r="C10" s="1" t="s">
        <v>19</v>
      </c>
      <c r="D10" s="1"/>
      <c r="E10" s="1" t="s">
        <v>574</v>
      </c>
      <c r="F10" s="1" t="s">
        <v>575</v>
      </c>
      <c r="G10" s="1" t="s">
        <v>576</v>
      </c>
      <c r="H10" s="1" t="s">
        <v>577</v>
      </c>
      <c r="I10" s="78" t="s">
        <v>578</v>
      </c>
      <c r="J10" s="61">
        <v>44007</v>
      </c>
      <c r="K10" s="1"/>
      <c r="L10" s="19" t="s">
        <v>88</v>
      </c>
      <c r="M10" s="20" t="s">
        <v>88</v>
      </c>
      <c r="N10" s="21" t="s">
        <v>79</v>
      </c>
      <c r="O10" s="22">
        <v>44746</v>
      </c>
      <c r="P10" s="1"/>
      <c r="R10" s="1" t="e">
        <v>#N/A</v>
      </c>
    </row>
    <row r="11" spans="1:18">
      <c r="A11" s="3">
        <v>9</v>
      </c>
      <c r="B11" s="1" t="s">
        <v>155</v>
      </c>
      <c r="C11" s="1" t="s">
        <v>19</v>
      </c>
      <c r="D11" s="1"/>
      <c r="E11" s="236" t="s">
        <v>579</v>
      </c>
      <c r="F11" s="1" t="s">
        <v>580</v>
      </c>
      <c r="G11" s="1" t="s">
        <v>581</v>
      </c>
      <c r="H11" s="1" t="s">
        <v>582</v>
      </c>
      <c r="I11" s="78" t="s">
        <v>583</v>
      </c>
      <c r="J11" s="61">
        <v>44007</v>
      </c>
      <c r="K11" s="1"/>
      <c r="L11" s="19" t="s">
        <v>79</v>
      </c>
      <c r="M11" s="20">
        <v>44033</v>
      </c>
      <c r="N11" s="21" t="s">
        <v>79</v>
      </c>
      <c r="O11" s="22">
        <v>44746</v>
      </c>
      <c r="P11" s="1" t="s">
        <v>540</v>
      </c>
      <c r="R11" s="1" t="e">
        <v>#N/A</v>
      </c>
    </row>
    <row r="12" spans="1:18">
      <c r="A12" s="3">
        <v>10</v>
      </c>
      <c r="B12" s="1" t="s">
        <v>155</v>
      </c>
      <c r="C12" s="1" t="s">
        <v>19</v>
      </c>
      <c r="D12" s="1"/>
      <c r="E12" s="1" t="s">
        <v>584</v>
      </c>
      <c r="F12" s="1" t="s">
        <v>585</v>
      </c>
      <c r="G12" s="1" t="s">
        <v>586</v>
      </c>
      <c r="H12" s="1" t="s">
        <v>587</v>
      </c>
      <c r="I12" s="78" t="s">
        <v>588</v>
      </c>
      <c r="J12" s="61">
        <v>44007</v>
      </c>
      <c r="K12" s="1"/>
      <c r="L12" s="19" t="s">
        <v>79</v>
      </c>
      <c r="M12" s="20">
        <v>44035</v>
      </c>
      <c r="N12" s="21" t="s">
        <v>79</v>
      </c>
      <c r="O12" s="22">
        <v>44746</v>
      </c>
      <c r="P12" s="1"/>
      <c r="R12" s="1" t="e">
        <v>#N/A</v>
      </c>
    </row>
    <row r="13" spans="1:18">
      <c r="A13" s="3">
        <v>11</v>
      </c>
      <c r="B13" s="6" t="s">
        <v>155</v>
      </c>
      <c r="C13" s="6" t="s">
        <v>19</v>
      </c>
      <c r="D13" s="1"/>
      <c r="E13" s="6" t="s">
        <v>589</v>
      </c>
      <c r="F13" s="6" t="s">
        <v>590</v>
      </c>
      <c r="G13" s="6" t="s">
        <v>591</v>
      </c>
      <c r="H13" s="6" t="s">
        <v>592</v>
      </c>
      <c r="I13" s="176" t="s">
        <v>593</v>
      </c>
      <c r="J13" s="10">
        <v>44007</v>
      </c>
      <c r="K13" s="6"/>
      <c r="L13" s="19" t="s">
        <v>79</v>
      </c>
      <c r="M13" s="20" t="s">
        <v>88</v>
      </c>
      <c r="N13" s="21" t="s">
        <v>79</v>
      </c>
      <c r="O13" s="22">
        <v>44746</v>
      </c>
      <c r="P13" s="1"/>
      <c r="R13" s="1" t="e">
        <v>#N/A</v>
      </c>
    </row>
    <row r="14" spans="1:18" ht="30">
      <c r="A14" s="3">
        <v>12</v>
      </c>
      <c r="B14" s="1" t="s">
        <v>155</v>
      </c>
      <c r="C14" s="1" t="s">
        <v>17</v>
      </c>
      <c r="D14" s="1"/>
      <c r="E14" s="237" t="s">
        <v>594</v>
      </c>
      <c r="F14" s="1" t="s">
        <v>595</v>
      </c>
      <c r="G14" s="1" t="s">
        <v>596</v>
      </c>
      <c r="H14" s="1" t="s">
        <v>572</v>
      </c>
      <c r="I14" s="210" t="s">
        <v>597</v>
      </c>
      <c r="J14" s="61">
        <v>44021</v>
      </c>
      <c r="K14" s="78" t="s">
        <v>598</v>
      </c>
      <c r="L14" s="19" t="s">
        <v>88</v>
      </c>
      <c r="M14" s="20" t="s">
        <v>88</v>
      </c>
      <c r="N14" s="23" t="s">
        <v>88</v>
      </c>
      <c r="O14" s="22" t="s">
        <v>88</v>
      </c>
      <c r="P14" s="1"/>
      <c r="R14" s="1" t="s">
        <v>599</v>
      </c>
    </row>
    <row r="15" spans="1:18" ht="30">
      <c r="A15" s="3">
        <v>13</v>
      </c>
      <c r="B15" s="1" t="s">
        <v>155</v>
      </c>
      <c r="C15" s="1" t="s">
        <v>17</v>
      </c>
      <c r="D15" s="1"/>
      <c r="E15" s="238" t="s">
        <v>600</v>
      </c>
      <c r="F15" s="1" t="s">
        <v>601</v>
      </c>
      <c r="G15" s="1" t="s">
        <v>602</v>
      </c>
      <c r="H15" s="1" t="s">
        <v>603</v>
      </c>
      <c r="I15" s="210">
        <v>316</v>
      </c>
      <c r="J15" s="61">
        <v>44055</v>
      </c>
      <c r="K15" s="78" t="s">
        <v>598</v>
      </c>
      <c r="L15" s="19" t="s">
        <v>88</v>
      </c>
      <c r="M15" s="20" t="s">
        <v>88</v>
      </c>
      <c r="N15" s="23" t="s">
        <v>88</v>
      </c>
      <c r="O15" s="22" t="s">
        <v>88</v>
      </c>
      <c r="P15" s="1" t="s">
        <v>540</v>
      </c>
      <c r="R15" s="1" t="s">
        <v>599</v>
      </c>
    </row>
    <row r="16" spans="1:18">
      <c r="A16" s="3">
        <v>14</v>
      </c>
      <c r="B16" s="1" t="s">
        <v>155</v>
      </c>
      <c r="C16" s="1" t="s">
        <v>17</v>
      </c>
      <c r="D16" s="1"/>
      <c r="E16" s="1" t="s">
        <v>604</v>
      </c>
      <c r="F16" s="100" t="s">
        <v>605</v>
      </c>
      <c r="G16" s="1" t="s">
        <v>606</v>
      </c>
      <c r="H16" s="1" t="s">
        <v>607</v>
      </c>
      <c r="I16" s="78" t="s">
        <v>608</v>
      </c>
      <c r="J16" s="61">
        <v>44116</v>
      </c>
      <c r="K16" s="42" t="s">
        <v>609</v>
      </c>
      <c r="L16" s="19" t="s">
        <v>79</v>
      </c>
      <c r="M16" s="20">
        <v>44033</v>
      </c>
      <c r="N16" s="21" t="s">
        <v>79</v>
      </c>
      <c r="O16" s="22">
        <v>44746</v>
      </c>
      <c r="P16" s="1"/>
      <c r="R16" s="1" t="e">
        <v>#N/A</v>
      </c>
    </row>
    <row r="17" spans="1:18" s="13" customFormat="1">
      <c r="A17" s="11">
        <v>15</v>
      </c>
      <c r="B17" s="11" t="s">
        <v>155</v>
      </c>
      <c r="C17" s="11" t="s">
        <v>17</v>
      </c>
      <c r="D17" s="11" t="s">
        <v>610</v>
      </c>
      <c r="E17" s="11" t="s">
        <v>611</v>
      </c>
      <c r="F17" s="11" t="s">
        <v>612</v>
      </c>
      <c r="G17" s="64" t="s">
        <v>613</v>
      </c>
      <c r="H17" s="11" t="s">
        <v>14</v>
      </c>
      <c r="I17" s="63" t="s">
        <v>614</v>
      </c>
      <c r="J17" s="12">
        <v>44117</v>
      </c>
      <c r="K17" s="11" t="s">
        <v>615</v>
      </c>
      <c r="L17" s="14" t="s">
        <v>79</v>
      </c>
      <c r="M17" s="15">
        <v>44033</v>
      </c>
      <c r="N17" s="16" t="s">
        <v>79</v>
      </c>
      <c r="O17" s="17">
        <v>44746</v>
      </c>
      <c r="P17" s="11"/>
      <c r="Q17" s="230"/>
      <c r="R17" s="1" t="s">
        <v>7</v>
      </c>
    </row>
    <row r="18" spans="1:18">
      <c r="A18" s="11"/>
      <c r="B18" s="11"/>
      <c r="C18" s="56" t="s">
        <v>259</v>
      </c>
      <c r="D18" s="1"/>
      <c r="E18" s="65" t="s">
        <v>616</v>
      </c>
      <c r="F18" s="65" t="s">
        <v>617</v>
      </c>
      <c r="G18" s="66" t="s">
        <v>618</v>
      </c>
      <c r="H18" s="65" t="s">
        <v>607</v>
      </c>
      <c r="I18" s="239" t="s">
        <v>619</v>
      </c>
      <c r="J18" s="205"/>
      <c r="K18" s="11"/>
      <c r="L18" s="14"/>
      <c r="M18" s="15"/>
      <c r="N18" s="16"/>
      <c r="O18" s="17"/>
      <c r="P18" s="11"/>
      <c r="R18" s="1" t="s">
        <v>7</v>
      </c>
    </row>
    <row r="19" spans="1:18">
      <c r="A19" s="11"/>
      <c r="B19" s="11"/>
      <c r="C19" s="56" t="s">
        <v>259</v>
      </c>
      <c r="D19" s="1"/>
      <c r="E19" s="65" t="s">
        <v>620</v>
      </c>
      <c r="F19" s="65" t="s">
        <v>621</v>
      </c>
      <c r="G19" s="66" t="s">
        <v>622</v>
      </c>
      <c r="H19" s="65" t="s">
        <v>14</v>
      </c>
      <c r="I19" s="239" t="s">
        <v>623</v>
      </c>
      <c r="J19" s="205"/>
      <c r="K19" s="11"/>
      <c r="L19" s="14"/>
      <c r="M19" s="15"/>
      <c r="N19" s="16"/>
      <c r="O19" s="17"/>
      <c r="P19" s="11"/>
      <c r="R19" s="1" t="s">
        <v>7</v>
      </c>
    </row>
    <row r="20" spans="1:18">
      <c r="A20" s="36">
        <v>1</v>
      </c>
      <c r="B20" s="36" t="s">
        <v>624</v>
      </c>
      <c r="C20" s="36" t="s">
        <v>625</v>
      </c>
      <c r="D20" s="1"/>
      <c r="E20" s="36" t="s">
        <v>626</v>
      </c>
      <c r="F20" s="1"/>
      <c r="G20" s="36" t="s">
        <v>627</v>
      </c>
      <c r="H20" s="36" t="s">
        <v>628</v>
      </c>
      <c r="I20" s="206"/>
      <c r="J20" s="206"/>
      <c r="K20" s="36"/>
      <c r="L20" s="25"/>
      <c r="M20" s="25"/>
      <c r="N20" s="25"/>
      <c r="O20" s="25"/>
      <c r="P20" s="1"/>
      <c r="R20" s="1" t="s">
        <v>629</v>
      </c>
    </row>
    <row r="21" spans="1:18">
      <c r="A21" s="36">
        <v>2</v>
      </c>
      <c r="B21" s="36" t="s">
        <v>624</v>
      </c>
      <c r="C21" s="36" t="s">
        <v>625</v>
      </c>
      <c r="D21" s="1"/>
      <c r="E21" s="36" t="s">
        <v>510</v>
      </c>
      <c r="F21" s="1"/>
      <c r="G21" s="36" t="s">
        <v>627</v>
      </c>
      <c r="H21" s="36" t="s">
        <v>628</v>
      </c>
      <c r="I21" s="206"/>
      <c r="J21" s="206"/>
      <c r="K21" s="36"/>
      <c r="L21" s="25"/>
      <c r="M21" s="25"/>
      <c r="N21" s="25"/>
      <c r="O21" s="25"/>
      <c r="P21" s="1"/>
      <c r="R21" s="1" t="s">
        <v>629</v>
      </c>
    </row>
    <row r="22" spans="1:18">
      <c r="A22" s="36">
        <v>3</v>
      </c>
      <c r="B22" s="36" t="s">
        <v>624</v>
      </c>
      <c r="C22" s="36" t="s">
        <v>625</v>
      </c>
      <c r="D22" s="1"/>
      <c r="E22" s="36" t="s">
        <v>630</v>
      </c>
      <c r="F22" s="1"/>
      <c r="G22" s="36" t="s">
        <v>627</v>
      </c>
      <c r="H22" s="36" t="s">
        <v>628</v>
      </c>
      <c r="I22" s="206"/>
      <c r="J22" s="206"/>
      <c r="K22" s="36"/>
      <c r="L22" s="25"/>
      <c r="M22" s="25"/>
      <c r="N22" s="25"/>
      <c r="O22" s="25"/>
      <c r="P22" s="1"/>
      <c r="R22" s="1" t="s">
        <v>629</v>
      </c>
    </row>
    <row r="23" spans="1:18">
      <c r="A23" s="36">
        <v>4</v>
      </c>
      <c r="B23" s="36" t="s">
        <v>624</v>
      </c>
      <c r="C23" s="36" t="s">
        <v>625</v>
      </c>
      <c r="D23" s="1"/>
      <c r="E23" s="36" t="s">
        <v>371</v>
      </c>
      <c r="F23" s="1"/>
      <c r="G23" s="36" t="s">
        <v>627</v>
      </c>
      <c r="H23" s="36" t="s">
        <v>628</v>
      </c>
      <c r="I23" s="206"/>
      <c r="J23" s="206"/>
      <c r="K23" s="36"/>
      <c r="L23" s="25"/>
      <c r="M23" s="25"/>
      <c r="N23" s="25"/>
      <c r="O23" s="25"/>
      <c r="P23" s="1"/>
      <c r="R23" s="1" t="s">
        <v>629</v>
      </c>
    </row>
    <row r="24" spans="1:18">
      <c r="A24" s="36">
        <v>5</v>
      </c>
      <c r="B24" s="36" t="s">
        <v>624</v>
      </c>
      <c r="C24" s="36" t="s">
        <v>625</v>
      </c>
      <c r="D24" s="1"/>
      <c r="E24" s="36" t="s">
        <v>631</v>
      </c>
      <c r="F24" s="1"/>
      <c r="G24" s="36" t="s">
        <v>627</v>
      </c>
      <c r="H24" s="36" t="s">
        <v>628</v>
      </c>
      <c r="I24" s="206"/>
      <c r="J24" s="206"/>
      <c r="K24" s="36"/>
      <c r="L24" s="25"/>
      <c r="M24" s="25"/>
      <c r="N24" s="25"/>
      <c r="O24" s="25"/>
      <c r="P24" s="1"/>
      <c r="R24" s="1" t="s">
        <v>629</v>
      </c>
    </row>
    <row r="25" spans="1:18">
      <c r="A25" s="36">
        <v>6</v>
      </c>
      <c r="B25" s="36" t="s">
        <v>624</v>
      </c>
      <c r="C25" s="36" t="s">
        <v>625</v>
      </c>
      <c r="D25" s="1"/>
      <c r="E25" s="36" t="s">
        <v>365</v>
      </c>
      <c r="F25" s="1"/>
      <c r="G25" s="36" t="s">
        <v>627</v>
      </c>
      <c r="H25" s="36" t="s">
        <v>628</v>
      </c>
      <c r="I25" s="206"/>
      <c r="J25" s="207"/>
      <c r="K25" s="36"/>
      <c r="L25" s="25"/>
      <c r="M25" s="25"/>
      <c r="N25" s="25"/>
      <c r="O25" s="25"/>
      <c r="P25" s="1"/>
      <c r="R25" s="1" t="s">
        <v>629</v>
      </c>
    </row>
    <row r="26" spans="1:18">
      <c r="A26" s="36">
        <v>7</v>
      </c>
      <c r="B26" s="36" t="s">
        <v>624</v>
      </c>
      <c r="C26" s="36" t="s">
        <v>632</v>
      </c>
      <c r="D26" s="1"/>
      <c r="E26" s="36" t="s">
        <v>633</v>
      </c>
      <c r="F26" s="1"/>
      <c r="G26" s="36" t="s">
        <v>634</v>
      </c>
      <c r="H26" s="36" t="s">
        <v>519</v>
      </c>
      <c r="I26" s="206"/>
      <c r="J26" s="207"/>
      <c r="K26" s="36"/>
      <c r="L26" s="25"/>
      <c r="M26" s="25"/>
      <c r="N26" s="25"/>
      <c r="O26" s="25"/>
      <c r="P26" s="1"/>
      <c r="R26" s="1" t="s">
        <v>629</v>
      </c>
    </row>
    <row r="27" spans="1:18">
      <c r="A27" s="36">
        <v>8</v>
      </c>
      <c r="B27" s="36" t="s">
        <v>624</v>
      </c>
      <c r="C27" s="36" t="s">
        <v>632</v>
      </c>
      <c r="D27" s="1"/>
      <c r="E27" s="36" t="s">
        <v>635</v>
      </c>
      <c r="F27" s="1"/>
      <c r="G27" s="36" t="s">
        <v>634</v>
      </c>
      <c r="H27" s="36" t="s">
        <v>519</v>
      </c>
      <c r="I27" s="206"/>
      <c r="J27" s="207"/>
      <c r="K27" s="36"/>
      <c r="L27" s="25"/>
      <c r="M27" s="25"/>
      <c r="N27" s="25"/>
      <c r="O27" s="25"/>
      <c r="P27" s="1"/>
      <c r="R27" s="1" t="s">
        <v>629</v>
      </c>
    </row>
    <row r="28" spans="1:18">
      <c r="A28" s="36">
        <v>9</v>
      </c>
      <c r="B28" s="36" t="s">
        <v>624</v>
      </c>
      <c r="C28" s="36" t="s">
        <v>632</v>
      </c>
      <c r="D28" s="1"/>
      <c r="E28" s="36" t="s">
        <v>636</v>
      </c>
      <c r="F28" s="1"/>
      <c r="G28" s="36" t="s">
        <v>634</v>
      </c>
      <c r="H28" s="36" t="s">
        <v>519</v>
      </c>
      <c r="I28" s="206"/>
      <c r="J28" s="207"/>
      <c r="K28" s="36"/>
      <c r="L28" s="25"/>
      <c r="M28" s="25"/>
      <c r="N28" s="25"/>
      <c r="O28" s="25"/>
      <c r="P28" s="1"/>
      <c r="R28" s="1" t="s">
        <v>629</v>
      </c>
    </row>
    <row r="29" spans="1:18">
      <c r="A29" s="36">
        <v>10</v>
      </c>
      <c r="B29" s="36" t="s">
        <v>624</v>
      </c>
      <c r="C29" s="36" t="s">
        <v>632</v>
      </c>
      <c r="D29" s="1"/>
      <c r="E29" s="36" t="s">
        <v>637</v>
      </c>
      <c r="F29" s="1"/>
      <c r="G29" s="36" t="s">
        <v>634</v>
      </c>
      <c r="H29" s="36" t="s">
        <v>519</v>
      </c>
      <c r="I29" s="206"/>
      <c r="J29" s="207"/>
      <c r="K29" s="36"/>
      <c r="L29" s="25"/>
      <c r="M29" s="25"/>
      <c r="N29" s="25"/>
      <c r="O29" s="25"/>
      <c r="P29" s="1"/>
      <c r="R29" s="1" t="s">
        <v>629</v>
      </c>
    </row>
    <row r="30" spans="1:18">
      <c r="A30" s="36">
        <v>11</v>
      </c>
      <c r="B30" s="36" t="s">
        <v>624</v>
      </c>
      <c r="C30" s="36" t="s">
        <v>632</v>
      </c>
      <c r="D30" s="1"/>
      <c r="E30" s="36" t="s">
        <v>638</v>
      </c>
      <c r="F30" s="1"/>
      <c r="G30" s="36" t="s">
        <v>634</v>
      </c>
      <c r="H30" s="36" t="s">
        <v>519</v>
      </c>
      <c r="I30" s="206"/>
      <c r="J30" s="207"/>
      <c r="K30" s="36"/>
      <c r="L30" s="25"/>
      <c r="M30" s="25"/>
      <c r="N30" s="25"/>
      <c r="O30" s="25"/>
      <c r="P30" s="1"/>
      <c r="R30" s="1" t="s">
        <v>629</v>
      </c>
    </row>
    <row r="31" spans="1:18">
      <c r="A31" s="36">
        <v>12</v>
      </c>
      <c r="B31" s="36" t="s">
        <v>624</v>
      </c>
      <c r="C31" s="36" t="s">
        <v>632</v>
      </c>
      <c r="D31" s="1"/>
      <c r="E31" s="36" t="s">
        <v>639</v>
      </c>
      <c r="F31" s="1"/>
      <c r="G31" s="36" t="s">
        <v>634</v>
      </c>
      <c r="H31" s="36" t="s">
        <v>519</v>
      </c>
      <c r="I31" s="206"/>
      <c r="J31" s="206"/>
      <c r="K31" s="36"/>
      <c r="L31" s="25"/>
      <c r="M31" s="25"/>
      <c r="N31" s="25"/>
      <c r="O31" s="25"/>
      <c r="P31" s="1"/>
      <c r="R31" s="1" t="s">
        <v>629</v>
      </c>
    </row>
    <row r="32" spans="1:18">
      <c r="A32" s="25">
        <v>13</v>
      </c>
      <c r="B32" s="25" t="s">
        <v>14</v>
      </c>
      <c r="C32" s="36" t="s">
        <v>625</v>
      </c>
      <c r="D32" s="1"/>
      <c r="E32" s="36" t="s">
        <v>640</v>
      </c>
      <c r="F32" s="1"/>
      <c r="G32" s="36" t="s">
        <v>627</v>
      </c>
      <c r="H32" s="36" t="s">
        <v>628</v>
      </c>
      <c r="I32" s="206"/>
      <c r="J32" s="208"/>
      <c r="K32" s="36"/>
      <c r="L32" s="25"/>
      <c r="M32" s="25"/>
      <c r="N32" s="25"/>
      <c r="O32" s="25"/>
      <c r="P32" s="1"/>
      <c r="R32" s="1" t="s">
        <v>629</v>
      </c>
    </row>
    <row r="33" spans="1:18">
      <c r="A33" s="25">
        <v>14</v>
      </c>
      <c r="B33" s="25" t="s">
        <v>14</v>
      </c>
      <c r="C33" s="36" t="s">
        <v>625</v>
      </c>
      <c r="D33" s="1"/>
      <c r="E33" s="36" t="s">
        <v>370</v>
      </c>
      <c r="F33" s="1"/>
      <c r="G33" s="36" t="s">
        <v>627</v>
      </c>
      <c r="H33" s="36" t="s">
        <v>628</v>
      </c>
      <c r="I33" s="206"/>
      <c r="J33" s="208"/>
      <c r="K33" s="36"/>
      <c r="L33" s="25"/>
      <c r="M33" s="25"/>
      <c r="N33" s="25"/>
      <c r="O33" s="25"/>
      <c r="P33" s="1"/>
      <c r="R33" s="1" t="s">
        <v>629</v>
      </c>
    </row>
    <row r="34" spans="1:18">
      <c r="A34" s="25">
        <v>15</v>
      </c>
      <c r="B34" s="25" t="s">
        <v>14</v>
      </c>
      <c r="C34" s="36" t="s">
        <v>625</v>
      </c>
      <c r="D34" s="1"/>
      <c r="E34" s="36" t="s">
        <v>641</v>
      </c>
      <c r="F34" s="1"/>
      <c r="G34" s="36" t="s">
        <v>627</v>
      </c>
      <c r="H34" s="36" t="s">
        <v>628</v>
      </c>
      <c r="I34" s="206"/>
      <c r="J34" s="208"/>
      <c r="K34" s="36"/>
      <c r="L34" s="25"/>
      <c r="M34" s="25"/>
      <c r="N34" s="25"/>
      <c r="O34" s="25"/>
      <c r="P34" s="1"/>
      <c r="R34" s="1" t="s">
        <v>629</v>
      </c>
    </row>
    <row r="35" spans="1:18">
      <c r="A35" s="25">
        <v>16</v>
      </c>
      <c r="B35" s="25" t="s">
        <v>14</v>
      </c>
      <c r="C35" s="36" t="s">
        <v>632</v>
      </c>
      <c r="D35" s="1"/>
      <c r="E35" s="36" t="s">
        <v>642</v>
      </c>
      <c r="F35" s="1"/>
      <c r="G35" s="36" t="s">
        <v>634</v>
      </c>
      <c r="H35" s="36" t="s">
        <v>519</v>
      </c>
      <c r="I35" s="206"/>
      <c r="J35" s="208"/>
      <c r="K35" s="36"/>
      <c r="L35" s="25"/>
      <c r="M35" s="25"/>
      <c r="N35" s="25"/>
      <c r="O35" s="25"/>
      <c r="P35" s="1"/>
      <c r="R35" s="1" t="s">
        <v>629</v>
      </c>
    </row>
    <row r="36" spans="1:18">
      <c r="A36" s="25">
        <v>17</v>
      </c>
      <c r="B36" s="25" t="s">
        <v>14</v>
      </c>
      <c r="C36" s="36" t="s">
        <v>632</v>
      </c>
      <c r="D36" s="1"/>
      <c r="E36" s="36" t="s">
        <v>643</v>
      </c>
      <c r="F36" s="1"/>
      <c r="G36" s="36" t="s">
        <v>634</v>
      </c>
      <c r="H36" s="36" t="s">
        <v>519</v>
      </c>
      <c r="I36" s="206"/>
      <c r="J36" s="208"/>
      <c r="K36" s="36"/>
      <c r="L36" s="25"/>
      <c r="M36" s="25"/>
      <c r="N36" s="25"/>
      <c r="O36" s="25"/>
      <c r="P36" s="1"/>
      <c r="R36" s="1" t="s">
        <v>629</v>
      </c>
    </row>
    <row r="37" spans="1:18">
      <c r="A37" s="25">
        <v>18</v>
      </c>
      <c r="B37" s="25" t="s">
        <v>14</v>
      </c>
      <c r="C37" s="36" t="s">
        <v>632</v>
      </c>
      <c r="D37" s="1"/>
      <c r="E37" s="36" t="s">
        <v>644</v>
      </c>
      <c r="F37" s="1"/>
      <c r="G37" s="36" t="s">
        <v>634</v>
      </c>
      <c r="H37" s="36" t="s">
        <v>519</v>
      </c>
      <c r="I37" s="206"/>
      <c r="J37" s="208"/>
      <c r="K37" s="36"/>
      <c r="L37" s="25"/>
      <c r="M37" s="25"/>
      <c r="N37" s="25"/>
      <c r="O37" s="25"/>
      <c r="P37" s="1"/>
      <c r="R37" s="1" t="s">
        <v>629</v>
      </c>
    </row>
    <row r="38" spans="1:18">
      <c r="A38" s="1" t="s">
        <v>645</v>
      </c>
      <c r="B38" s="36" t="s">
        <v>624</v>
      </c>
      <c r="C38" s="36" t="s">
        <v>625</v>
      </c>
      <c r="D38" s="1"/>
      <c r="E38" s="25" t="s">
        <v>646</v>
      </c>
      <c r="F38" s="1"/>
      <c r="G38" s="36" t="s">
        <v>627</v>
      </c>
      <c r="H38" s="36" t="s">
        <v>647</v>
      </c>
      <c r="I38" s="36" t="s">
        <v>648</v>
      </c>
      <c r="J38" s="25" t="s">
        <v>649</v>
      </c>
      <c r="K38" s="1"/>
      <c r="L38" s="25"/>
      <c r="M38" s="25"/>
      <c r="N38" s="25"/>
      <c r="O38" s="25"/>
      <c r="P38" s="1"/>
      <c r="R38" s="1"/>
    </row>
    <row r="39" spans="1:18">
      <c r="A39" s="1" t="s">
        <v>650</v>
      </c>
      <c r="B39" s="36" t="s">
        <v>624</v>
      </c>
      <c r="C39" s="36" t="s">
        <v>632</v>
      </c>
      <c r="D39" s="1"/>
      <c r="E39" s="36" t="s">
        <v>651</v>
      </c>
      <c r="F39" s="1"/>
      <c r="G39" s="36" t="s">
        <v>634</v>
      </c>
      <c r="H39" s="36" t="s">
        <v>519</v>
      </c>
      <c r="I39" s="36" t="s">
        <v>648</v>
      </c>
      <c r="J39" s="25" t="s">
        <v>649</v>
      </c>
      <c r="K39" s="1"/>
      <c r="L39" s="25"/>
      <c r="M39" s="25"/>
      <c r="N39" s="25"/>
      <c r="O39" s="25"/>
      <c r="P39" s="1"/>
      <c r="R39" s="1"/>
    </row>
    <row r="40" spans="1:18">
      <c r="A40" s="1" t="s">
        <v>652</v>
      </c>
      <c r="B40" s="36" t="s">
        <v>624</v>
      </c>
      <c r="C40" s="36" t="s">
        <v>625</v>
      </c>
      <c r="D40" s="1"/>
      <c r="E40" s="25" t="s">
        <v>653</v>
      </c>
      <c r="F40" s="1"/>
      <c r="G40" s="36" t="s">
        <v>627</v>
      </c>
      <c r="H40" s="36" t="s">
        <v>647</v>
      </c>
      <c r="I40" s="36" t="s">
        <v>654</v>
      </c>
      <c r="J40" s="25" t="s">
        <v>649</v>
      </c>
      <c r="K40" s="1"/>
      <c r="L40" s="25"/>
      <c r="M40" s="25"/>
      <c r="N40" s="25"/>
      <c r="O40" s="25"/>
      <c r="P40" s="1"/>
      <c r="R40" s="1"/>
    </row>
    <row r="41" spans="1:18">
      <c r="A41" s="1" t="s">
        <v>655</v>
      </c>
      <c r="B41" s="36" t="s">
        <v>624</v>
      </c>
      <c r="C41" s="36" t="s">
        <v>632</v>
      </c>
      <c r="D41" s="1"/>
      <c r="E41" s="36" t="s">
        <v>656</v>
      </c>
      <c r="F41" s="1"/>
      <c r="G41" s="36" t="s">
        <v>634</v>
      </c>
      <c r="H41" s="36" t="s">
        <v>519</v>
      </c>
      <c r="I41" s="36" t="s">
        <v>654</v>
      </c>
      <c r="J41" s="25" t="s">
        <v>649</v>
      </c>
      <c r="K41" s="1"/>
      <c r="L41" s="25"/>
      <c r="M41" s="25"/>
      <c r="N41" s="25"/>
      <c r="O41" s="25"/>
      <c r="P41" s="1"/>
      <c r="R41" s="1"/>
    </row>
    <row r="42" spans="1:18">
      <c r="A42" s="1" t="s">
        <v>657</v>
      </c>
      <c r="B42" s="36" t="s">
        <v>624</v>
      </c>
      <c r="C42" s="36" t="s">
        <v>625</v>
      </c>
      <c r="D42" s="1"/>
      <c r="E42" s="25" t="s">
        <v>658</v>
      </c>
      <c r="F42" s="1"/>
      <c r="G42" s="36" t="s">
        <v>627</v>
      </c>
      <c r="H42" s="36" t="s">
        <v>647</v>
      </c>
      <c r="I42" s="36" t="s">
        <v>659</v>
      </c>
      <c r="J42" s="25" t="s">
        <v>649</v>
      </c>
      <c r="K42" s="1"/>
      <c r="L42" s="25"/>
      <c r="M42" s="25"/>
      <c r="N42" s="25"/>
      <c r="O42" s="25"/>
      <c r="P42" s="1"/>
      <c r="R42" s="1"/>
    </row>
    <row r="43" spans="1:18">
      <c r="A43" s="1" t="s">
        <v>660</v>
      </c>
      <c r="B43" s="36" t="s">
        <v>624</v>
      </c>
      <c r="C43" s="36" t="s">
        <v>632</v>
      </c>
      <c r="D43" s="1"/>
      <c r="E43" s="36" t="s">
        <v>661</v>
      </c>
      <c r="F43" s="1"/>
      <c r="G43" s="36" t="s">
        <v>634</v>
      </c>
      <c r="H43" s="36" t="s">
        <v>519</v>
      </c>
      <c r="I43" s="36" t="s">
        <v>659</v>
      </c>
      <c r="J43" s="25" t="s">
        <v>649</v>
      </c>
      <c r="K43" s="1"/>
      <c r="L43" s="25"/>
      <c r="M43" s="25"/>
      <c r="N43" s="25"/>
      <c r="O43" s="25"/>
      <c r="P43" s="1"/>
      <c r="R43" s="1"/>
    </row>
    <row r="44" spans="1:18">
      <c r="A44" s="1" t="s">
        <v>662</v>
      </c>
      <c r="B44" s="36" t="s">
        <v>624</v>
      </c>
      <c r="C44" s="36" t="s">
        <v>625</v>
      </c>
      <c r="D44" s="1"/>
      <c r="E44" s="25" t="s">
        <v>641</v>
      </c>
      <c r="F44" s="1"/>
      <c r="G44" s="36" t="s">
        <v>627</v>
      </c>
      <c r="H44" s="25" t="s">
        <v>628</v>
      </c>
      <c r="I44" s="36" t="s">
        <v>663</v>
      </c>
      <c r="J44" s="25" t="s">
        <v>649</v>
      </c>
      <c r="K44" s="1"/>
      <c r="L44" s="25"/>
      <c r="M44" s="25"/>
      <c r="N44" s="25"/>
      <c r="O44" s="25"/>
      <c r="P44" s="1"/>
      <c r="R44" s="1"/>
    </row>
    <row r="45" spans="1:18">
      <c r="A45" s="1" t="s">
        <v>664</v>
      </c>
      <c r="B45" s="36" t="s">
        <v>624</v>
      </c>
      <c r="C45" s="36" t="s">
        <v>632</v>
      </c>
      <c r="D45" s="1"/>
      <c r="E45" s="36" t="s">
        <v>665</v>
      </c>
      <c r="F45" s="1"/>
      <c r="G45" s="36" t="s">
        <v>634</v>
      </c>
      <c r="H45" s="36" t="s">
        <v>519</v>
      </c>
      <c r="I45" s="36" t="s">
        <v>663</v>
      </c>
      <c r="J45" s="25" t="s">
        <v>649</v>
      </c>
      <c r="K45" s="1"/>
      <c r="L45" s="25"/>
      <c r="M45" s="25"/>
      <c r="N45" s="25"/>
      <c r="O45" s="25"/>
      <c r="P45" s="1"/>
      <c r="R45" s="1"/>
    </row>
    <row r="46" spans="1:18">
      <c r="A46" s="1" t="s">
        <v>666</v>
      </c>
      <c r="B46" s="36" t="s">
        <v>624</v>
      </c>
      <c r="C46" s="36" t="s">
        <v>625</v>
      </c>
      <c r="D46" s="1"/>
      <c r="E46" s="25" t="s">
        <v>667</v>
      </c>
      <c r="F46" s="1"/>
      <c r="G46" s="36" t="s">
        <v>627</v>
      </c>
      <c r="H46" s="36" t="s">
        <v>647</v>
      </c>
      <c r="I46" s="36" t="s">
        <v>668</v>
      </c>
      <c r="J46" s="25" t="s">
        <v>649</v>
      </c>
      <c r="K46" s="1"/>
      <c r="L46" s="25"/>
      <c r="M46" s="25"/>
      <c r="N46" s="25"/>
      <c r="O46" s="25"/>
      <c r="P46" s="1"/>
      <c r="R46" s="1"/>
    </row>
    <row r="47" spans="1:18">
      <c r="A47" s="1" t="s">
        <v>669</v>
      </c>
      <c r="B47" s="36" t="s">
        <v>624</v>
      </c>
      <c r="C47" s="36" t="s">
        <v>632</v>
      </c>
      <c r="D47" s="1"/>
      <c r="E47" s="36" t="s">
        <v>670</v>
      </c>
      <c r="F47" s="1"/>
      <c r="G47" s="36" t="s">
        <v>634</v>
      </c>
      <c r="H47" s="36" t="s">
        <v>519</v>
      </c>
      <c r="I47" s="36" t="s">
        <v>668</v>
      </c>
      <c r="J47" s="25" t="s">
        <v>649</v>
      </c>
      <c r="K47" s="1"/>
      <c r="L47" s="25"/>
      <c r="M47" s="25"/>
      <c r="N47" s="25"/>
      <c r="O47" s="25"/>
      <c r="P47" s="1"/>
      <c r="R47" s="1"/>
    </row>
    <row r="48" spans="1:18">
      <c r="A48" s="1" t="s">
        <v>671</v>
      </c>
      <c r="B48" s="36" t="s">
        <v>624</v>
      </c>
      <c r="C48" s="36" t="s">
        <v>625</v>
      </c>
      <c r="D48" s="1"/>
      <c r="E48" s="36" t="s">
        <v>672</v>
      </c>
      <c r="F48" s="1"/>
      <c r="G48" s="36" t="s">
        <v>627</v>
      </c>
      <c r="H48" s="25" t="s">
        <v>628</v>
      </c>
      <c r="I48" s="36" t="s">
        <v>673</v>
      </c>
      <c r="J48" s="25"/>
      <c r="K48" s="1"/>
      <c r="L48" s="25"/>
      <c r="M48" s="25"/>
      <c r="N48" s="25"/>
      <c r="O48" s="25"/>
      <c r="P48" s="1"/>
      <c r="R48" s="1"/>
    </row>
    <row r="49" spans="1:18">
      <c r="A49" s="1" t="s">
        <v>674</v>
      </c>
      <c r="B49" s="25" t="s">
        <v>14</v>
      </c>
      <c r="C49" s="36" t="s">
        <v>625</v>
      </c>
      <c r="D49" s="1"/>
      <c r="E49" s="36"/>
      <c r="F49" s="1"/>
      <c r="G49" s="36" t="s">
        <v>627</v>
      </c>
      <c r="H49" s="36" t="s">
        <v>647</v>
      </c>
      <c r="I49" s="36" t="s">
        <v>648</v>
      </c>
      <c r="J49" s="1"/>
      <c r="K49" s="1"/>
      <c r="L49" s="25"/>
      <c r="M49" s="25"/>
      <c r="N49" s="25"/>
      <c r="O49" s="25"/>
      <c r="P49" s="1"/>
      <c r="R49" s="1"/>
    </row>
    <row r="50" spans="1:18">
      <c r="A50" s="1" t="s">
        <v>675</v>
      </c>
      <c r="B50" s="25" t="s">
        <v>14</v>
      </c>
      <c r="C50" s="36" t="s">
        <v>632</v>
      </c>
      <c r="D50" s="1"/>
      <c r="E50" s="36"/>
      <c r="F50" s="1"/>
      <c r="G50" s="36" t="s">
        <v>634</v>
      </c>
      <c r="H50" s="36" t="s">
        <v>519</v>
      </c>
      <c r="I50" s="36" t="s">
        <v>648</v>
      </c>
      <c r="J50" s="1"/>
      <c r="K50" s="1"/>
      <c r="L50" s="25"/>
      <c r="M50" s="25"/>
      <c r="N50" s="25"/>
      <c r="O50" s="25"/>
      <c r="P50" s="1"/>
      <c r="R50" s="1"/>
    </row>
    <row r="51" spans="1:18">
      <c r="A51" s="1" t="s">
        <v>676</v>
      </c>
      <c r="B51" s="25" t="s">
        <v>14</v>
      </c>
      <c r="C51" s="36" t="s">
        <v>625</v>
      </c>
      <c r="D51" s="1"/>
      <c r="E51" s="36"/>
      <c r="F51" s="1"/>
      <c r="G51" s="36" t="s">
        <v>627</v>
      </c>
      <c r="H51" s="36" t="s">
        <v>647</v>
      </c>
      <c r="I51" s="36" t="s">
        <v>654</v>
      </c>
      <c r="J51" s="1"/>
      <c r="K51" s="1"/>
      <c r="L51" s="25"/>
      <c r="M51" s="25"/>
      <c r="N51" s="25"/>
      <c r="O51" s="25"/>
      <c r="P51" s="1"/>
      <c r="R51" s="1"/>
    </row>
    <row r="52" spans="1:18">
      <c r="A52" s="1" t="s">
        <v>677</v>
      </c>
      <c r="B52" s="25" t="s">
        <v>14</v>
      </c>
      <c r="C52" s="36" t="s">
        <v>632</v>
      </c>
      <c r="D52" s="1"/>
      <c r="E52" s="36"/>
      <c r="F52" s="1"/>
      <c r="G52" s="36" t="s">
        <v>634</v>
      </c>
      <c r="H52" s="36" t="s">
        <v>519</v>
      </c>
      <c r="I52" s="36" t="s">
        <v>654</v>
      </c>
      <c r="J52" s="1"/>
      <c r="K52" s="1"/>
      <c r="L52" s="25"/>
      <c r="M52" s="25"/>
      <c r="N52" s="25"/>
      <c r="O52" s="25"/>
      <c r="P52" s="1"/>
      <c r="R52" s="1"/>
    </row>
    <row r="53" spans="1:18">
      <c r="A53" s="1" t="s">
        <v>678</v>
      </c>
      <c r="B53" s="25" t="s">
        <v>14</v>
      </c>
      <c r="C53" s="36"/>
      <c r="D53" s="1"/>
      <c r="E53" s="36"/>
      <c r="F53" s="1"/>
      <c r="G53" s="36"/>
      <c r="H53" s="36"/>
      <c r="I53" s="78"/>
      <c r="J53" s="1"/>
      <c r="K53" s="1"/>
      <c r="L53" s="25"/>
      <c r="M53" s="25"/>
      <c r="N53" s="25"/>
      <c r="O53" s="25"/>
      <c r="P53" s="1"/>
      <c r="R53" s="1"/>
    </row>
    <row r="54" spans="1:18">
      <c r="A54" s="1" t="s">
        <v>679</v>
      </c>
      <c r="B54" s="25" t="s">
        <v>14</v>
      </c>
      <c r="C54" s="36"/>
      <c r="D54" s="1"/>
      <c r="E54" s="36"/>
      <c r="F54" s="1"/>
      <c r="G54" s="36"/>
      <c r="H54" s="36"/>
      <c r="I54" s="78"/>
      <c r="J54" s="1"/>
      <c r="K54" s="1"/>
      <c r="L54" s="25"/>
      <c r="M54" s="25"/>
      <c r="N54" s="25"/>
      <c r="O54" s="25"/>
      <c r="P54" s="1"/>
      <c r="R54" s="1"/>
    </row>
    <row r="55" spans="1:18">
      <c r="Q55" s="235"/>
    </row>
  </sheetData>
  <autoFilter ref="A2:M15" xr:uid="{00000000-0009-0000-0000-000003000000}"/>
  <phoneticPr fontId="12" type="noConversion"/>
  <pageMargins left="3.937007874015748E-2" right="3.937007874015748E-2" top="0.74803149606299213" bottom="0.74803149606299213" header="0.31496062992125984" footer="0.31496062992125984"/>
  <pageSetup paperSize="9" scale="7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34"/>
  <sheetViews>
    <sheetView tabSelected="1" workbookViewId="0">
      <selection activeCell="A2" sqref="A2:M25"/>
    </sheetView>
  </sheetViews>
  <sheetFormatPr defaultRowHeight="15"/>
  <cols>
    <col min="1" max="1" width="4.5703125" customWidth="1"/>
    <col min="2" max="2" width="19.5703125" customWidth="1"/>
    <col min="3" max="3" width="16.28515625" customWidth="1"/>
    <col min="4" max="4" width="13" customWidth="1"/>
    <col min="5" max="5" width="27" bestFit="1" customWidth="1"/>
    <col min="6" max="9" width="19.5703125" customWidth="1"/>
    <col min="10" max="10" width="21" customWidth="1"/>
    <col min="11" max="11" width="32.28515625" customWidth="1"/>
    <col min="12" max="12" width="33.28515625" bestFit="1" customWidth="1"/>
    <col min="13" max="13" width="49.7109375" customWidth="1"/>
  </cols>
  <sheetData>
    <row r="1" spans="1:41" ht="21">
      <c r="A1" s="213"/>
      <c r="B1" s="279" t="s">
        <v>53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41">
      <c r="A2" s="248" t="s">
        <v>54</v>
      </c>
      <c r="B2" s="248" t="s">
        <v>55</v>
      </c>
      <c r="C2" s="248" t="s">
        <v>56</v>
      </c>
      <c r="D2" s="248" t="s">
        <v>57</v>
      </c>
      <c r="E2" s="248" t="s">
        <v>58</v>
      </c>
      <c r="F2" s="248" t="s">
        <v>59</v>
      </c>
      <c r="G2" s="248" t="s">
        <v>60</v>
      </c>
      <c r="H2" s="248" t="s">
        <v>61</v>
      </c>
      <c r="I2" s="248" t="s">
        <v>62</v>
      </c>
      <c r="J2" s="248" t="s">
        <v>257</v>
      </c>
      <c r="K2" s="248" t="s">
        <v>65</v>
      </c>
      <c r="L2" s="248" t="s">
        <v>65</v>
      </c>
      <c r="M2" s="249" t="s">
        <v>680</v>
      </c>
    </row>
    <row r="3" spans="1:41">
      <c r="A3" s="250">
        <v>1</v>
      </c>
      <c r="B3" s="250" t="s">
        <v>681</v>
      </c>
      <c r="C3" s="250" t="s">
        <v>17</v>
      </c>
      <c r="D3" s="250" t="s">
        <v>682</v>
      </c>
      <c r="E3" s="250" t="s">
        <v>683</v>
      </c>
      <c r="F3" s="250" t="s">
        <v>684</v>
      </c>
      <c r="G3" s="251" t="s">
        <v>685</v>
      </c>
      <c r="H3" s="250" t="s">
        <v>686</v>
      </c>
      <c r="I3" s="252" t="s">
        <v>687</v>
      </c>
      <c r="J3" s="253" t="s">
        <v>688</v>
      </c>
      <c r="K3" s="252" t="s">
        <v>689</v>
      </c>
      <c r="L3" s="250"/>
      <c r="M3" s="254" t="s">
        <v>690</v>
      </c>
    </row>
    <row r="4" spans="1:41">
      <c r="A4" s="250">
        <v>2</v>
      </c>
      <c r="B4" s="250" t="s">
        <v>691</v>
      </c>
      <c r="C4" s="250" t="s">
        <v>19</v>
      </c>
      <c r="D4" s="250" t="s">
        <v>692</v>
      </c>
      <c r="E4" s="250" t="s">
        <v>693</v>
      </c>
      <c r="F4" s="250" t="s">
        <v>694</v>
      </c>
      <c r="G4" s="250" t="s">
        <v>695</v>
      </c>
      <c r="H4" s="250" t="s">
        <v>696</v>
      </c>
      <c r="I4" s="252" t="s">
        <v>697</v>
      </c>
      <c r="J4" s="253" t="s">
        <v>698</v>
      </c>
      <c r="K4" s="252" t="s">
        <v>699</v>
      </c>
      <c r="L4" s="250"/>
      <c r="M4" s="255" t="s">
        <v>7</v>
      </c>
    </row>
    <row r="5" spans="1:41" s="7" customFormat="1">
      <c r="A5" s="250">
        <v>3</v>
      </c>
      <c r="B5" s="250" t="s">
        <v>691</v>
      </c>
      <c r="C5" s="250" t="s">
        <v>19</v>
      </c>
      <c r="D5" s="250" t="s">
        <v>700</v>
      </c>
      <c r="E5" s="250" t="s">
        <v>701</v>
      </c>
      <c r="F5" s="250" t="s">
        <v>702</v>
      </c>
      <c r="G5" s="250" t="s">
        <v>703</v>
      </c>
      <c r="H5" s="250" t="s">
        <v>704</v>
      </c>
      <c r="I5" s="252" t="s">
        <v>705</v>
      </c>
      <c r="J5" s="253" t="s">
        <v>698</v>
      </c>
      <c r="K5" s="252" t="s">
        <v>699</v>
      </c>
      <c r="L5" s="256" t="s">
        <v>706</v>
      </c>
      <c r="M5" s="255" t="s">
        <v>7</v>
      </c>
    </row>
    <row r="6" spans="1:41" s="13" customFormat="1" ht="60">
      <c r="A6" s="250">
        <v>4</v>
      </c>
      <c r="B6" s="257" t="s">
        <v>691</v>
      </c>
      <c r="C6" s="250" t="s">
        <v>17</v>
      </c>
      <c r="D6" s="257" t="s">
        <v>707</v>
      </c>
      <c r="E6" s="257" t="s">
        <v>708</v>
      </c>
      <c r="F6" s="257" t="s">
        <v>709</v>
      </c>
      <c r="G6" s="257" t="s">
        <v>710</v>
      </c>
      <c r="H6" s="257" t="s">
        <v>711</v>
      </c>
      <c r="I6" s="252" t="s">
        <v>712</v>
      </c>
      <c r="J6" s="253">
        <v>44000</v>
      </c>
      <c r="K6" s="258" t="s">
        <v>713</v>
      </c>
      <c r="L6" s="250"/>
      <c r="M6" s="255" t="s">
        <v>7</v>
      </c>
    </row>
    <row r="7" spans="1:41" s="7" customFormat="1" ht="45">
      <c r="A7" s="256">
        <v>5</v>
      </c>
      <c r="B7" s="256" t="s">
        <v>714</v>
      </c>
      <c r="C7" s="256" t="s">
        <v>17</v>
      </c>
      <c r="D7" s="256" t="s">
        <v>715</v>
      </c>
      <c r="E7" s="256" t="s">
        <v>716</v>
      </c>
      <c r="F7" s="256" t="s">
        <v>717</v>
      </c>
      <c r="G7" s="256" t="s">
        <v>718</v>
      </c>
      <c r="H7" s="259" t="s">
        <v>719</v>
      </c>
      <c r="I7" s="259" t="s">
        <v>720</v>
      </c>
      <c r="J7" s="260">
        <v>44736</v>
      </c>
      <c r="K7" s="261" t="s">
        <v>721</v>
      </c>
      <c r="L7" s="256" t="s">
        <v>722</v>
      </c>
      <c r="M7" s="255" t="s">
        <v>7</v>
      </c>
    </row>
    <row r="8" spans="1:41" s="13" customFormat="1" ht="45">
      <c r="A8" s="250">
        <v>6</v>
      </c>
      <c r="B8" s="250" t="s">
        <v>691</v>
      </c>
      <c r="C8" s="250" t="s">
        <v>20</v>
      </c>
      <c r="D8" s="250" t="s">
        <v>723</v>
      </c>
      <c r="E8" s="250" t="s">
        <v>724</v>
      </c>
      <c r="F8" s="250" t="s">
        <v>725</v>
      </c>
      <c r="G8" s="257" t="s">
        <v>726</v>
      </c>
      <c r="H8" s="262" t="s">
        <v>720</v>
      </c>
      <c r="I8" s="252" t="s">
        <v>727</v>
      </c>
      <c r="J8" s="253">
        <v>44000</v>
      </c>
      <c r="K8" s="258" t="s">
        <v>728</v>
      </c>
      <c r="L8" s="250"/>
      <c r="M8" s="255" t="s">
        <v>7</v>
      </c>
    </row>
    <row r="9" spans="1:41" s="6" customFormat="1">
      <c r="A9" s="256">
        <v>7</v>
      </c>
      <c r="B9" s="256" t="s">
        <v>155</v>
      </c>
      <c r="C9" s="256" t="s">
        <v>17</v>
      </c>
      <c r="D9" s="256" t="s">
        <v>88</v>
      </c>
      <c r="E9" s="263" t="s">
        <v>729</v>
      </c>
      <c r="F9" s="257" t="s">
        <v>730</v>
      </c>
      <c r="G9" s="264" t="s">
        <v>731</v>
      </c>
      <c r="H9" s="256" t="s">
        <v>686</v>
      </c>
      <c r="I9" s="259">
        <v>314</v>
      </c>
      <c r="J9" s="260">
        <v>44736</v>
      </c>
      <c r="K9" s="259" t="s">
        <v>732</v>
      </c>
      <c r="L9" s="256"/>
      <c r="M9" s="25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s="6" customFormat="1">
      <c r="A10" s="250">
        <v>8</v>
      </c>
      <c r="B10" s="256" t="s">
        <v>733</v>
      </c>
      <c r="C10" s="250" t="s">
        <v>149</v>
      </c>
      <c r="D10" s="265" t="s">
        <v>734</v>
      </c>
      <c r="E10" s="265" t="s">
        <v>735</v>
      </c>
      <c r="F10" s="250" t="s">
        <v>736</v>
      </c>
      <c r="G10" s="250" t="s">
        <v>737</v>
      </c>
      <c r="H10" s="250" t="s">
        <v>686</v>
      </c>
      <c r="I10" s="250" t="s">
        <v>738</v>
      </c>
      <c r="J10" s="253">
        <v>44736</v>
      </c>
      <c r="K10" s="252" t="s">
        <v>739</v>
      </c>
      <c r="L10" s="256" t="s">
        <v>740</v>
      </c>
      <c r="M10" s="255" t="s">
        <v>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s="6" customFormat="1">
      <c r="A11" s="250">
        <v>9</v>
      </c>
      <c r="B11" s="250" t="s">
        <v>741</v>
      </c>
      <c r="C11" s="250" t="s">
        <v>149</v>
      </c>
      <c r="D11" s="265" t="s">
        <v>742</v>
      </c>
      <c r="E11" s="265" t="s">
        <v>743</v>
      </c>
      <c r="F11" s="250" t="s">
        <v>744</v>
      </c>
      <c r="G11" s="250" t="s">
        <v>745</v>
      </c>
      <c r="H11" s="250" t="s">
        <v>686</v>
      </c>
      <c r="I11" s="252" t="s">
        <v>746</v>
      </c>
      <c r="J11" s="253">
        <v>44736</v>
      </c>
      <c r="K11" s="252" t="s">
        <v>739</v>
      </c>
      <c r="L11" s="256" t="s">
        <v>740</v>
      </c>
      <c r="M11" s="255" t="s">
        <v>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45">
      <c r="A12" s="250">
        <v>10</v>
      </c>
      <c r="B12" s="250" t="s">
        <v>155</v>
      </c>
      <c r="C12" s="250" t="s">
        <v>747</v>
      </c>
      <c r="D12" s="250" t="s">
        <v>88</v>
      </c>
      <c r="E12" s="250" t="s">
        <v>748</v>
      </c>
      <c r="F12" s="250" t="s">
        <v>88</v>
      </c>
      <c r="G12" s="250" t="s">
        <v>749</v>
      </c>
      <c r="H12" s="250" t="s">
        <v>750</v>
      </c>
      <c r="I12" s="250" t="s">
        <v>751</v>
      </c>
      <c r="J12" s="266" t="s">
        <v>698</v>
      </c>
      <c r="K12" s="258" t="s">
        <v>752</v>
      </c>
      <c r="L12" s="250"/>
      <c r="M12" s="255"/>
    </row>
    <row r="13" spans="1:41" ht="45">
      <c r="A13" s="250">
        <v>11</v>
      </c>
      <c r="B13" s="250" t="s">
        <v>155</v>
      </c>
      <c r="C13" s="250" t="s">
        <v>753</v>
      </c>
      <c r="D13" s="250" t="s">
        <v>88</v>
      </c>
      <c r="E13" s="250" t="s">
        <v>754</v>
      </c>
      <c r="F13" s="250" t="s">
        <v>88</v>
      </c>
      <c r="G13" s="250"/>
      <c r="H13" s="250" t="s">
        <v>755</v>
      </c>
      <c r="I13" s="250" t="s">
        <v>756</v>
      </c>
      <c r="J13" s="266" t="s">
        <v>698</v>
      </c>
      <c r="K13" s="258" t="s">
        <v>757</v>
      </c>
      <c r="L13" s="250"/>
      <c r="M13" s="255"/>
    </row>
    <row r="14" spans="1:41">
      <c r="A14" s="250">
        <v>12</v>
      </c>
      <c r="B14" s="250" t="s">
        <v>155</v>
      </c>
      <c r="C14" s="250" t="s">
        <v>758</v>
      </c>
      <c r="D14" s="250" t="s">
        <v>759</v>
      </c>
      <c r="E14" s="250" t="s">
        <v>760</v>
      </c>
      <c r="F14" s="250" t="s">
        <v>88</v>
      </c>
      <c r="G14" s="250" t="s">
        <v>761</v>
      </c>
      <c r="H14" s="250" t="s">
        <v>711</v>
      </c>
      <c r="I14" s="250" t="s">
        <v>762</v>
      </c>
      <c r="J14" s="266" t="s">
        <v>698</v>
      </c>
      <c r="K14" s="252" t="s">
        <v>763</v>
      </c>
      <c r="L14" s="250"/>
      <c r="M14" s="255"/>
    </row>
    <row r="15" spans="1:41">
      <c r="A15" s="267">
        <v>13</v>
      </c>
      <c r="B15" s="267" t="s">
        <v>155</v>
      </c>
      <c r="C15" s="267" t="s">
        <v>764</v>
      </c>
      <c r="D15" s="267"/>
      <c r="E15" s="268" t="s">
        <v>765</v>
      </c>
      <c r="F15" s="267" t="s">
        <v>88</v>
      </c>
      <c r="G15" s="267" t="s">
        <v>88</v>
      </c>
      <c r="H15" s="267" t="s">
        <v>696</v>
      </c>
      <c r="I15" s="267" t="s">
        <v>766</v>
      </c>
      <c r="J15" s="269" t="s">
        <v>698</v>
      </c>
      <c r="K15" s="270" t="s">
        <v>767</v>
      </c>
      <c r="L15" s="267"/>
      <c r="M15" s="255"/>
    </row>
    <row r="16" spans="1:41">
      <c r="A16" s="267">
        <v>14</v>
      </c>
      <c r="B16" s="267" t="s">
        <v>155</v>
      </c>
      <c r="C16" s="267" t="s">
        <v>764</v>
      </c>
      <c r="D16" s="267"/>
      <c r="E16" s="267" t="s">
        <v>768</v>
      </c>
      <c r="F16" s="267"/>
      <c r="G16" s="267"/>
      <c r="H16" s="267" t="s">
        <v>704</v>
      </c>
      <c r="I16" s="267" t="s">
        <v>769</v>
      </c>
      <c r="J16" s="269" t="s">
        <v>698</v>
      </c>
      <c r="K16" s="270" t="s">
        <v>770</v>
      </c>
      <c r="L16" s="267"/>
      <c r="M16" s="255"/>
    </row>
    <row r="17" spans="1:13">
      <c r="A17" s="267">
        <v>15</v>
      </c>
      <c r="B17" s="267" t="s">
        <v>155</v>
      </c>
      <c r="C17" s="267" t="s">
        <v>764</v>
      </c>
      <c r="D17" s="267"/>
      <c r="E17" s="267" t="s">
        <v>771</v>
      </c>
      <c r="F17" s="267" t="s">
        <v>88</v>
      </c>
      <c r="G17" s="267" t="s">
        <v>88</v>
      </c>
      <c r="H17" s="267" t="s">
        <v>711</v>
      </c>
      <c r="I17" s="267" t="s">
        <v>772</v>
      </c>
      <c r="J17" s="269" t="s">
        <v>698</v>
      </c>
      <c r="K17" s="270" t="s">
        <v>773</v>
      </c>
      <c r="L17" s="267"/>
      <c r="M17" s="255"/>
    </row>
    <row r="18" spans="1:13">
      <c r="A18" s="250">
        <v>16</v>
      </c>
      <c r="B18" s="250" t="s">
        <v>155</v>
      </c>
      <c r="C18" s="250" t="s">
        <v>774</v>
      </c>
      <c r="D18" s="250" t="s">
        <v>775</v>
      </c>
      <c r="E18" s="250" t="s">
        <v>776</v>
      </c>
      <c r="F18" s="250" t="s">
        <v>777</v>
      </c>
      <c r="G18" s="250" t="s">
        <v>88</v>
      </c>
      <c r="H18" s="250" t="s">
        <v>696</v>
      </c>
      <c r="I18" s="250" t="s">
        <v>778</v>
      </c>
      <c r="J18" s="266" t="s">
        <v>698</v>
      </c>
      <c r="K18" s="252"/>
      <c r="L18" s="250"/>
      <c r="M18" s="255"/>
    </row>
    <row r="19" spans="1:13" ht="27.6" customHeight="1">
      <c r="A19" s="250">
        <v>17</v>
      </c>
      <c r="B19" s="250" t="s">
        <v>155</v>
      </c>
      <c r="C19" s="250" t="s">
        <v>774</v>
      </c>
      <c r="D19" s="250"/>
      <c r="E19" s="250" t="s">
        <v>779</v>
      </c>
      <c r="F19" s="250"/>
      <c r="G19" s="250"/>
      <c r="H19" s="250" t="s">
        <v>704</v>
      </c>
      <c r="I19" s="250" t="s">
        <v>780</v>
      </c>
      <c r="J19" s="266" t="s">
        <v>698</v>
      </c>
      <c r="K19" s="252"/>
      <c r="L19" s="250"/>
      <c r="M19" s="255"/>
    </row>
    <row r="20" spans="1:13" ht="27.6" customHeight="1">
      <c r="A20" s="250">
        <v>18</v>
      </c>
      <c r="B20" s="250" t="s">
        <v>691</v>
      </c>
      <c r="C20" s="250" t="s">
        <v>774</v>
      </c>
      <c r="D20" s="250"/>
      <c r="E20" s="250" t="s">
        <v>635</v>
      </c>
      <c r="F20" s="250"/>
      <c r="G20" s="250"/>
      <c r="H20" s="250" t="s">
        <v>711</v>
      </c>
      <c r="I20" s="250" t="s">
        <v>781</v>
      </c>
      <c r="J20" s="266" t="s">
        <v>698</v>
      </c>
      <c r="K20" s="252"/>
      <c r="L20" s="250"/>
      <c r="M20" s="255"/>
    </row>
    <row r="21" spans="1:13" s="77" customFormat="1" ht="21.6" customHeight="1">
      <c r="A21" s="271">
        <v>19</v>
      </c>
      <c r="B21" s="271" t="s">
        <v>782</v>
      </c>
      <c r="C21" s="272" t="s">
        <v>783</v>
      </c>
      <c r="D21" s="273"/>
      <c r="E21" s="273" t="s">
        <v>784</v>
      </c>
      <c r="F21" s="271"/>
      <c r="G21" s="273"/>
      <c r="H21" s="271" t="s">
        <v>696</v>
      </c>
      <c r="I21" s="271" t="s">
        <v>785</v>
      </c>
      <c r="J21" s="272" t="s">
        <v>786</v>
      </c>
      <c r="K21" s="272" t="s">
        <v>787</v>
      </c>
      <c r="L21" s="271"/>
      <c r="M21" s="274"/>
    </row>
    <row r="22" spans="1:13" s="77" customFormat="1" ht="21.6" customHeight="1">
      <c r="A22" s="271">
        <v>20</v>
      </c>
      <c r="B22" s="271" t="s">
        <v>782</v>
      </c>
      <c r="C22" s="272" t="s">
        <v>783</v>
      </c>
      <c r="D22" s="273"/>
      <c r="E22" s="273" t="s">
        <v>631</v>
      </c>
      <c r="F22" s="271"/>
      <c r="G22" s="273"/>
      <c r="H22" s="271" t="s">
        <v>704</v>
      </c>
      <c r="I22" s="271" t="s">
        <v>785</v>
      </c>
      <c r="J22" s="272" t="s">
        <v>786</v>
      </c>
      <c r="K22" s="275" t="s">
        <v>788</v>
      </c>
      <c r="L22" s="271"/>
      <c r="M22" s="274"/>
    </row>
    <row r="23" spans="1:13" s="77" customFormat="1" ht="21.6" customHeight="1">
      <c r="A23" s="271">
        <v>21</v>
      </c>
      <c r="B23" s="271" t="s">
        <v>782</v>
      </c>
      <c r="C23" s="272" t="s">
        <v>783</v>
      </c>
      <c r="D23" s="273"/>
      <c r="E23" s="273" t="s">
        <v>626</v>
      </c>
      <c r="F23" s="271"/>
      <c r="G23" s="273"/>
      <c r="H23" s="271" t="s">
        <v>711</v>
      </c>
      <c r="I23" s="271" t="s">
        <v>785</v>
      </c>
      <c r="J23" s="273"/>
      <c r="K23" s="275" t="s">
        <v>788</v>
      </c>
      <c r="L23" s="271"/>
      <c r="M23" s="274"/>
    </row>
    <row r="24" spans="1:13" ht="21.6" customHeight="1">
      <c r="A24" s="250">
        <v>22</v>
      </c>
      <c r="B24" s="262" t="s">
        <v>691</v>
      </c>
      <c r="C24" s="276" t="s">
        <v>783</v>
      </c>
      <c r="D24" s="277"/>
      <c r="E24" s="277" t="s">
        <v>789</v>
      </c>
      <c r="F24" s="262"/>
      <c r="G24" s="277"/>
      <c r="H24" s="262" t="s">
        <v>720</v>
      </c>
      <c r="I24" s="262" t="s">
        <v>790</v>
      </c>
      <c r="J24" s="277"/>
      <c r="K24" s="278" t="s">
        <v>791</v>
      </c>
      <c r="L24" s="250"/>
      <c r="M24" s="255"/>
    </row>
    <row r="25" spans="1:13" ht="21.6" customHeight="1">
      <c r="A25" s="250">
        <v>23</v>
      </c>
      <c r="B25" s="262" t="s">
        <v>691</v>
      </c>
      <c r="C25" s="276" t="s">
        <v>783</v>
      </c>
      <c r="D25" s="277"/>
      <c r="E25" s="277" t="s">
        <v>792</v>
      </c>
      <c r="F25" s="262"/>
      <c r="G25" s="277"/>
      <c r="H25" s="262" t="s">
        <v>720</v>
      </c>
      <c r="I25" s="262" t="s">
        <v>790</v>
      </c>
      <c r="J25" s="277"/>
      <c r="K25" s="278" t="s">
        <v>793</v>
      </c>
      <c r="L25" s="250"/>
      <c r="M25" s="255"/>
    </row>
    <row r="26" spans="1:13">
      <c r="A26" s="242"/>
      <c r="B26" s="243"/>
      <c r="C26" s="244"/>
      <c r="D26" s="243"/>
      <c r="E26" s="245"/>
      <c r="F26" s="13"/>
      <c r="G26" s="243"/>
      <c r="H26" s="13"/>
      <c r="I26" s="13"/>
      <c r="J26" s="4"/>
      <c r="K26" s="240"/>
      <c r="L26" s="13"/>
    </row>
    <row r="27" spans="1:13">
      <c r="A27" s="11"/>
      <c r="B27" s="36"/>
      <c r="C27" s="67"/>
      <c r="D27" s="36"/>
      <c r="E27" s="69"/>
      <c r="F27" s="13"/>
      <c r="G27" s="36"/>
      <c r="H27" s="13"/>
      <c r="I27" s="13"/>
      <c r="J27" s="4"/>
      <c r="K27" s="240"/>
      <c r="L27" s="13"/>
    </row>
    <row r="28" spans="1:13">
      <c r="A28" s="11"/>
      <c r="B28" s="36"/>
      <c r="C28" s="67"/>
      <c r="D28" s="36"/>
      <c r="E28" s="69"/>
      <c r="F28" s="13"/>
      <c r="G28" s="35"/>
      <c r="H28" s="13"/>
      <c r="I28" s="13"/>
      <c r="J28" s="4"/>
      <c r="K28" s="240"/>
      <c r="L28" s="13"/>
    </row>
    <row r="29" spans="1:13">
      <c r="A29" s="11"/>
      <c r="B29" s="36"/>
      <c r="C29" s="67"/>
      <c r="D29" s="36"/>
      <c r="E29" s="69"/>
      <c r="F29" s="13"/>
      <c r="G29" s="35"/>
      <c r="H29" s="13"/>
      <c r="I29" s="13"/>
      <c r="J29" s="4"/>
      <c r="K29" s="240"/>
      <c r="L29" s="13"/>
    </row>
    <row r="30" spans="1:13">
      <c r="A30" s="11"/>
      <c r="B30" s="36"/>
      <c r="C30" s="67"/>
      <c r="D30" s="36"/>
      <c r="E30" s="69"/>
      <c r="F30" s="13"/>
      <c r="G30" s="35"/>
      <c r="H30" s="13"/>
      <c r="I30" s="13"/>
      <c r="J30" s="241"/>
      <c r="K30" s="240"/>
      <c r="L30" s="13"/>
    </row>
    <row r="31" spans="1:13">
      <c r="A31" s="11"/>
      <c r="B31" s="36"/>
      <c r="C31" s="67"/>
      <c r="D31" s="36"/>
      <c r="E31" s="69"/>
      <c r="F31" s="13"/>
      <c r="G31" s="35"/>
      <c r="H31" s="13"/>
      <c r="I31" s="13"/>
      <c r="J31" s="4"/>
      <c r="K31" s="240"/>
      <c r="L31" s="13"/>
    </row>
    <row r="32" spans="1:13">
      <c r="A32" s="11"/>
      <c r="B32" s="36"/>
      <c r="C32" s="67"/>
      <c r="D32" s="36"/>
      <c r="E32" s="69"/>
      <c r="F32" s="13"/>
      <c r="G32" s="35"/>
      <c r="H32" s="13"/>
      <c r="I32" s="13"/>
      <c r="J32" s="4"/>
      <c r="K32" s="240"/>
      <c r="L32" s="13"/>
    </row>
    <row r="33" spans="1:12">
      <c r="A33" s="11"/>
      <c r="B33" s="36"/>
      <c r="C33" s="67"/>
      <c r="D33" s="36"/>
      <c r="E33" s="69"/>
      <c r="F33" s="13"/>
      <c r="G33" s="35"/>
      <c r="H33" s="13"/>
      <c r="I33" s="13"/>
      <c r="J33" s="4"/>
      <c r="K33" s="240"/>
      <c r="L33" s="13"/>
    </row>
    <row r="34" spans="1:12">
      <c r="A34" s="11"/>
      <c r="B34" s="36"/>
      <c r="C34" s="67"/>
      <c r="D34" s="36"/>
      <c r="E34" s="69"/>
      <c r="F34" s="13"/>
      <c r="G34" s="35"/>
      <c r="H34" s="13"/>
      <c r="I34" s="13"/>
      <c r="J34" s="4"/>
      <c r="K34" s="240"/>
      <c r="L34" s="13"/>
    </row>
  </sheetData>
  <phoneticPr fontId="12" type="noConversion"/>
  <pageMargins left="0.25" right="0.25" top="0.75" bottom="0.75" header="0.3" footer="0.3"/>
  <pageSetup paperSize="9" scale="7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/>
  </sheetViews>
  <sheetFormatPr defaultRowHeight="15"/>
  <cols>
    <col min="1" max="1" width="4.5703125" customWidth="1"/>
    <col min="2" max="2" width="19.5703125" customWidth="1"/>
    <col min="3" max="3" width="15.5703125" customWidth="1"/>
    <col min="4" max="4" width="19.5703125" customWidth="1"/>
    <col min="5" max="5" width="25.5703125" customWidth="1"/>
    <col min="6" max="6" width="19.28515625" customWidth="1"/>
    <col min="7" max="7" width="20.42578125" customWidth="1"/>
    <col min="8" max="8" width="28.7109375" customWidth="1"/>
    <col min="9" max="9" width="47.7109375" bestFit="1" customWidth="1"/>
    <col min="10" max="10" width="20.42578125" customWidth="1"/>
    <col min="11" max="11" width="19.5703125" customWidth="1"/>
  </cols>
  <sheetData>
    <row r="1" spans="1:11">
      <c r="A1" s="2" t="s">
        <v>54</v>
      </c>
      <c r="B1" s="2" t="s">
        <v>794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795</v>
      </c>
      <c r="H1" s="2" t="s">
        <v>796</v>
      </c>
      <c r="I1" s="2" t="s">
        <v>65</v>
      </c>
    </row>
    <row r="2" spans="1:11">
      <c r="A2" s="1">
        <v>1</v>
      </c>
      <c r="B2" s="1" t="s">
        <v>797</v>
      </c>
      <c r="C2" s="1" t="s">
        <v>17</v>
      </c>
      <c r="D2" s="1" t="s">
        <v>798</v>
      </c>
      <c r="E2" s="1" t="s">
        <v>799</v>
      </c>
      <c r="F2" s="1" t="s">
        <v>800</v>
      </c>
      <c r="G2" s="1" t="s">
        <v>801</v>
      </c>
      <c r="H2" s="1" t="s">
        <v>802</v>
      </c>
      <c r="I2" s="1" t="s">
        <v>803</v>
      </c>
    </row>
    <row r="3" spans="1:11" s="40" customFormat="1">
      <c r="A3" s="72">
        <v>2</v>
      </c>
      <c r="B3" s="72" t="s">
        <v>804</v>
      </c>
      <c r="C3" s="72" t="s">
        <v>149</v>
      </c>
      <c r="D3" s="72" t="s">
        <v>805</v>
      </c>
      <c r="E3" s="72" t="s">
        <v>806</v>
      </c>
      <c r="F3" s="72" t="s">
        <v>807</v>
      </c>
      <c r="G3" s="72" t="s">
        <v>808</v>
      </c>
      <c r="H3" s="72" t="s">
        <v>809</v>
      </c>
      <c r="I3" s="72" t="s">
        <v>810</v>
      </c>
      <c r="J3" s="36" t="s">
        <v>811</v>
      </c>
      <c r="K3" s="36" t="s">
        <v>812</v>
      </c>
    </row>
    <row r="4" spans="1:11" s="40" customFormat="1">
      <c r="A4" s="72">
        <v>3</v>
      </c>
      <c r="B4" s="72" t="s">
        <v>155</v>
      </c>
      <c r="C4" s="72" t="s">
        <v>813</v>
      </c>
      <c r="D4" s="72" t="s">
        <v>814</v>
      </c>
      <c r="E4" s="72" t="s">
        <v>815</v>
      </c>
      <c r="F4" s="72" t="s">
        <v>816</v>
      </c>
      <c r="G4" s="73" t="s">
        <v>817</v>
      </c>
      <c r="H4" s="72"/>
      <c r="I4" s="74" t="s">
        <v>818</v>
      </c>
      <c r="J4" s="36" t="s">
        <v>811</v>
      </c>
      <c r="K4" s="36" t="s">
        <v>819</v>
      </c>
    </row>
    <row r="5" spans="1:11" s="40" customFormat="1">
      <c r="A5" s="72">
        <v>4</v>
      </c>
      <c r="B5" s="72" t="s">
        <v>820</v>
      </c>
      <c r="C5" s="72" t="s">
        <v>813</v>
      </c>
      <c r="D5" s="72" t="s">
        <v>821</v>
      </c>
      <c r="E5" s="72" t="s">
        <v>822</v>
      </c>
      <c r="F5" s="72" t="s">
        <v>823</v>
      </c>
      <c r="G5" s="73" t="s">
        <v>824</v>
      </c>
      <c r="H5" s="72"/>
      <c r="I5" s="74" t="s">
        <v>825</v>
      </c>
      <c r="J5" s="36" t="s">
        <v>811</v>
      </c>
      <c r="K5" s="36" t="s">
        <v>812</v>
      </c>
    </row>
    <row r="6" spans="1:11" s="40" customFormat="1">
      <c r="A6" s="72">
        <v>5</v>
      </c>
      <c r="B6" s="72" t="s">
        <v>826</v>
      </c>
      <c r="C6" s="72" t="s">
        <v>813</v>
      </c>
      <c r="D6" s="72" t="s">
        <v>827</v>
      </c>
      <c r="E6" s="72" t="s">
        <v>828</v>
      </c>
      <c r="F6" s="72" t="s">
        <v>829</v>
      </c>
      <c r="G6" s="72" t="s">
        <v>830</v>
      </c>
      <c r="H6" s="72"/>
      <c r="I6" s="74" t="s">
        <v>831</v>
      </c>
      <c r="J6" s="36" t="s">
        <v>811</v>
      </c>
      <c r="K6" s="36" t="s">
        <v>812</v>
      </c>
    </row>
    <row r="7" spans="1:11" s="7" customFormat="1">
      <c r="A7" s="8">
        <v>3</v>
      </c>
      <c r="B7" s="8" t="s">
        <v>691</v>
      </c>
      <c r="C7" s="8" t="s">
        <v>19</v>
      </c>
      <c r="D7" s="8" t="s">
        <v>832</v>
      </c>
      <c r="E7" s="8" t="s">
        <v>833</v>
      </c>
      <c r="F7" s="8" t="s">
        <v>834</v>
      </c>
      <c r="G7" s="8" t="s">
        <v>835</v>
      </c>
      <c r="H7" s="8" t="s">
        <v>836</v>
      </c>
      <c r="I7" s="9" t="s">
        <v>837</v>
      </c>
    </row>
  </sheetData>
  <autoFilter ref="A1:I2" xr:uid="{00000000-0009-0000-0000-000005000000}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workbookViewId="0">
      <selection activeCell="H29" sqref="H29"/>
    </sheetView>
  </sheetViews>
  <sheetFormatPr defaultRowHeight="15"/>
  <cols>
    <col min="1" max="1" width="16.5703125" style="4" bestFit="1" customWidth="1"/>
    <col min="2" max="3" width="32.42578125" style="4" customWidth="1"/>
    <col min="4" max="4" width="30.5703125" style="4" bestFit="1" customWidth="1"/>
    <col min="5" max="5" width="32.5703125" customWidth="1"/>
    <col min="6" max="6" width="12.28515625" customWidth="1"/>
    <col min="7" max="7" width="36.5703125" customWidth="1"/>
    <col min="8" max="8" width="19.7109375" customWidth="1"/>
    <col min="9" max="9" width="13" customWidth="1"/>
    <col min="10" max="10" width="15.42578125" customWidth="1"/>
  </cols>
  <sheetData>
    <row r="1" spans="1:11" ht="17.25">
      <c r="A1" s="172" t="s">
        <v>838</v>
      </c>
      <c r="B1" s="172" t="s">
        <v>839</v>
      </c>
      <c r="C1" s="172" t="s">
        <v>840</v>
      </c>
      <c r="D1" s="172" t="s">
        <v>841</v>
      </c>
      <c r="E1" s="172" t="s">
        <v>842</v>
      </c>
      <c r="F1" s="172"/>
      <c r="G1" s="172" t="s">
        <v>843</v>
      </c>
      <c r="H1" s="41" t="s">
        <v>70</v>
      </c>
      <c r="I1" s="41" t="s">
        <v>69</v>
      </c>
      <c r="J1" s="79" t="s">
        <v>71</v>
      </c>
    </row>
    <row r="2" spans="1:11" ht="28.5">
      <c r="A2" s="85">
        <v>313</v>
      </c>
      <c r="B2" s="93" t="s">
        <v>594</v>
      </c>
      <c r="C2" s="81" t="s">
        <v>844</v>
      </c>
      <c r="D2" s="85" t="s">
        <v>596</v>
      </c>
      <c r="E2" s="86" t="s">
        <v>845</v>
      </c>
      <c r="F2" s="1" t="s">
        <v>572</v>
      </c>
      <c r="G2" s="86" t="s">
        <v>846</v>
      </c>
      <c r="H2" s="1"/>
      <c r="I2" s="1"/>
      <c r="J2" s="1"/>
    </row>
    <row r="3" spans="1:11" ht="28.5">
      <c r="A3" s="85">
        <v>314</v>
      </c>
      <c r="B3" s="95" t="s">
        <v>847</v>
      </c>
      <c r="C3" s="81" t="s">
        <v>844</v>
      </c>
      <c r="D3" s="85" t="s">
        <v>731</v>
      </c>
      <c r="E3" s="85" t="s">
        <v>848</v>
      </c>
      <c r="F3" s="68" t="s">
        <v>686</v>
      </c>
      <c r="G3" s="86" t="s">
        <v>849</v>
      </c>
      <c r="H3" s="1"/>
      <c r="I3" s="1"/>
      <c r="J3" s="1"/>
    </row>
    <row r="4" spans="1:11" ht="17.25">
      <c r="A4" s="85">
        <v>315</v>
      </c>
      <c r="B4" s="88" t="s">
        <v>251</v>
      </c>
      <c r="C4" s="81" t="s">
        <v>844</v>
      </c>
      <c r="D4" s="85" t="s">
        <v>253</v>
      </c>
      <c r="E4" s="85" t="s">
        <v>850</v>
      </c>
      <c r="F4" s="81" t="s">
        <v>10</v>
      </c>
      <c r="G4" s="85" t="s">
        <v>851</v>
      </c>
      <c r="H4" s="6" t="s">
        <v>235</v>
      </c>
      <c r="I4" s="155" t="s">
        <v>852</v>
      </c>
      <c r="J4" s="173" t="s">
        <v>7</v>
      </c>
      <c r="K4" s="75" t="s">
        <v>853</v>
      </c>
    </row>
    <row r="5" spans="1:11" ht="28.5">
      <c r="A5" s="85">
        <v>316</v>
      </c>
      <c r="B5" s="92" t="s">
        <v>600</v>
      </c>
      <c r="C5" s="81" t="s">
        <v>844</v>
      </c>
      <c r="D5" s="85" t="s">
        <v>602</v>
      </c>
      <c r="E5" s="86" t="s">
        <v>854</v>
      </c>
      <c r="F5" s="1" t="s">
        <v>603</v>
      </c>
      <c r="G5" s="86" t="s">
        <v>846</v>
      </c>
      <c r="H5" s="1"/>
      <c r="I5" s="1"/>
      <c r="J5" s="1"/>
    </row>
    <row r="6" spans="1:11" ht="71.25">
      <c r="A6" s="85">
        <v>317</v>
      </c>
      <c r="B6" s="90" t="s">
        <v>855</v>
      </c>
      <c r="C6" s="81" t="s">
        <v>844</v>
      </c>
      <c r="D6" s="85" t="s">
        <v>239</v>
      </c>
      <c r="E6" s="85" t="s">
        <v>850</v>
      </c>
      <c r="F6" s="81" t="s">
        <v>240</v>
      </c>
      <c r="G6" s="85" t="s">
        <v>851</v>
      </c>
      <c r="H6" s="6" t="s">
        <v>235</v>
      </c>
      <c r="I6" s="155" t="s">
        <v>856</v>
      </c>
      <c r="J6" s="1"/>
    </row>
    <row r="7" spans="1:11" ht="30">
      <c r="A7" s="85">
        <v>191</v>
      </c>
      <c r="B7" s="85" t="s">
        <v>227</v>
      </c>
      <c r="C7" s="85" t="s">
        <v>857</v>
      </c>
      <c r="D7" s="85" t="s">
        <v>228</v>
      </c>
      <c r="E7" s="85" t="s">
        <v>850</v>
      </c>
      <c r="F7" s="81" t="s">
        <v>10</v>
      </c>
      <c r="G7" s="85" t="s">
        <v>851</v>
      </c>
      <c r="H7" s="176" t="s">
        <v>231</v>
      </c>
      <c r="I7" s="155" t="s">
        <v>856</v>
      </c>
      <c r="J7" s="173" t="s">
        <v>7</v>
      </c>
      <c r="K7" s="75" t="s">
        <v>858</v>
      </c>
    </row>
    <row r="8" spans="1:11" ht="15.75">
      <c r="A8" s="85">
        <v>192</v>
      </c>
      <c r="B8" s="85" t="s">
        <v>233</v>
      </c>
      <c r="C8" s="85" t="s">
        <v>857</v>
      </c>
      <c r="D8" s="85" t="s">
        <v>234</v>
      </c>
      <c r="E8" s="85" t="s">
        <v>850</v>
      </c>
      <c r="F8" s="81" t="s">
        <v>10</v>
      </c>
      <c r="G8" s="85" t="s">
        <v>851</v>
      </c>
      <c r="H8" s="6" t="s">
        <v>235</v>
      </c>
      <c r="I8" s="155" t="s">
        <v>856</v>
      </c>
      <c r="J8" s="1"/>
    </row>
    <row r="9" spans="1:11" ht="30">
      <c r="A9" s="85">
        <v>193</v>
      </c>
      <c r="B9" s="85" t="s">
        <v>244</v>
      </c>
      <c r="C9" s="85" t="s">
        <v>857</v>
      </c>
      <c r="D9" s="85" t="s">
        <v>246</v>
      </c>
      <c r="E9" s="85" t="s">
        <v>850</v>
      </c>
      <c r="F9" s="81" t="s">
        <v>10</v>
      </c>
      <c r="G9" s="85" t="s">
        <v>851</v>
      </c>
      <c r="H9" s="176" t="s">
        <v>231</v>
      </c>
      <c r="I9" s="155" t="s">
        <v>852</v>
      </c>
      <c r="J9" s="1"/>
    </row>
    <row r="10" spans="1:11" ht="15.75">
      <c r="A10" s="80">
        <v>313</v>
      </c>
      <c r="B10" s="94" t="s">
        <v>859</v>
      </c>
      <c r="C10" s="81" t="s">
        <v>844</v>
      </c>
      <c r="D10" s="81" t="s">
        <v>10</v>
      </c>
      <c r="E10" s="82" t="s">
        <v>607</v>
      </c>
      <c r="F10" s="82"/>
      <c r="G10" s="86" t="s">
        <v>846</v>
      </c>
      <c r="H10" s="6"/>
      <c r="I10" s="155"/>
      <c r="J10" s="1"/>
    </row>
    <row r="11" spans="1:11">
      <c r="A11" s="80">
        <v>314</v>
      </c>
      <c r="B11" s="96" t="s">
        <v>860</v>
      </c>
      <c r="C11" s="81" t="s">
        <v>844</v>
      </c>
      <c r="D11" s="81" t="s">
        <v>10</v>
      </c>
      <c r="E11" s="82" t="s">
        <v>11</v>
      </c>
      <c r="F11" s="82"/>
      <c r="G11" s="82" t="s">
        <v>861</v>
      </c>
      <c r="H11" s="6"/>
      <c r="I11" s="6"/>
      <c r="J11" s="1"/>
    </row>
    <row r="12" spans="1:11">
      <c r="A12" s="80">
        <v>315</v>
      </c>
      <c r="B12" s="87" t="s">
        <v>862</v>
      </c>
      <c r="C12" s="81" t="s">
        <v>844</v>
      </c>
      <c r="D12" s="81" t="s">
        <v>10</v>
      </c>
      <c r="E12" s="82" t="s">
        <v>12</v>
      </c>
      <c r="F12" s="82"/>
      <c r="G12" s="82" t="s">
        <v>863</v>
      </c>
      <c r="H12" s="6"/>
      <c r="I12" s="6"/>
      <c r="J12" s="1"/>
    </row>
    <row r="13" spans="1:11" ht="17.25">
      <c r="A13" s="80">
        <v>316</v>
      </c>
      <c r="B13" s="91" t="s">
        <v>864</v>
      </c>
      <c r="C13" s="81" t="s">
        <v>844</v>
      </c>
      <c r="D13" s="81" t="s">
        <v>10</v>
      </c>
      <c r="E13" s="82" t="s">
        <v>865</v>
      </c>
      <c r="F13" s="82"/>
      <c r="G13" s="86" t="s">
        <v>846</v>
      </c>
      <c r="H13" s="1"/>
      <c r="I13" s="1"/>
      <c r="J13" s="173" t="s">
        <v>7</v>
      </c>
      <c r="K13" s="75" t="s">
        <v>853</v>
      </c>
    </row>
    <row r="14" spans="1:11">
      <c r="A14" s="80">
        <v>317</v>
      </c>
      <c r="B14" s="89" t="s">
        <v>238</v>
      </c>
      <c r="C14" s="81" t="s">
        <v>844</v>
      </c>
      <c r="D14" s="81" t="s">
        <v>10</v>
      </c>
      <c r="E14" s="82" t="s">
        <v>607</v>
      </c>
      <c r="F14" s="82"/>
      <c r="G14" s="86" t="s">
        <v>846</v>
      </c>
      <c r="H14" s="1"/>
      <c r="I14" s="1"/>
      <c r="J14" s="1"/>
    </row>
    <row r="15" spans="1:11">
      <c r="A15" s="174"/>
      <c r="B15" s="81" t="s">
        <v>866</v>
      </c>
      <c r="C15" s="83" t="s">
        <v>867</v>
      </c>
      <c r="D15" s="81" t="s">
        <v>10</v>
      </c>
      <c r="E15" s="84"/>
      <c r="F15" s="84"/>
      <c r="G15" s="84" t="s">
        <v>868</v>
      </c>
      <c r="H15" s="1"/>
      <c r="I15" s="1"/>
      <c r="J15" s="1"/>
    </row>
    <row r="16" spans="1:11">
      <c r="A16" s="175" t="s">
        <v>198</v>
      </c>
      <c r="B16" s="81" t="s">
        <v>199</v>
      </c>
      <c r="C16" s="81" t="s">
        <v>869</v>
      </c>
      <c r="D16" s="81" t="s">
        <v>870</v>
      </c>
      <c r="E16" s="175" t="s">
        <v>871</v>
      </c>
      <c r="F16" s="84"/>
      <c r="G16" s="175" t="s">
        <v>872</v>
      </c>
      <c r="H16" s="1"/>
      <c r="I16" s="1"/>
      <c r="J16" s="1"/>
    </row>
    <row r="17" spans="1:10">
      <c r="A17" s="174"/>
      <c r="B17" s="83" t="s">
        <v>873</v>
      </c>
      <c r="C17" s="83" t="s">
        <v>874</v>
      </c>
      <c r="D17" s="81" t="s">
        <v>875</v>
      </c>
      <c r="E17" s="84"/>
      <c r="F17" s="84"/>
      <c r="G17" s="84" t="s">
        <v>868</v>
      </c>
      <c r="H17" s="1"/>
      <c r="I17" s="1"/>
      <c r="J17" s="1"/>
    </row>
    <row r="18" spans="1:10">
      <c r="A18" s="175" t="s">
        <v>876</v>
      </c>
      <c r="B18" s="83" t="s">
        <v>611</v>
      </c>
      <c r="C18" s="83" t="s">
        <v>877</v>
      </c>
      <c r="D18" s="81" t="s">
        <v>878</v>
      </c>
      <c r="E18" s="175" t="s">
        <v>879</v>
      </c>
      <c r="F18" s="84"/>
      <c r="G18" s="175" t="s">
        <v>880</v>
      </c>
      <c r="H18" s="1"/>
      <c r="I18" s="1"/>
      <c r="J18" s="1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AE36-6555-42B4-9930-C47F2ED4AEE3}">
  <dimension ref="A1:Z140"/>
  <sheetViews>
    <sheetView topLeftCell="K1" workbookViewId="0">
      <selection activeCell="R48" sqref="R48"/>
    </sheetView>
  </sheetViews>
  <sheetFormatPr defaultColWidth="8.5703125" defaultRowHeight="12.75"/>
  <cols>
    <col min="1" max="2" width="11" style="75" bestFit="1" customWidth="1"/>
    <col min="3" max="3" width="13.42578125" style="75" bestFit="1" customWidth="1"/>
    <col min="4" max="4" width="8.85546875" style="75" customWidth="1"/>
    <col min="5" max="5" width="15.140625" style="75" bestFit="1" customWidth="1"/>
    <col min="6" max="6" width="15.5703125" style="75" bestFit="1" customWidth="1"/>
    <col min="7" max="7" width="14.28515625" style="75" bestFit="1" customWidth="1"/>
    <col min="8" max="8" width="21.140625" style="75" bestFit="1" customWidth="1"/>
    <col min="9" max="9" width="13.140625" style="75" bestFit="1" customWidth="1"/>
    <col min="10" max="10" width="96.85546875" style="75" bestFit="1" customWidth="1"/>
    <col min="11" max="11" width="11.28515625" style="75" bestFit="1" customWidth="1"/>
    <col min="12" max="12" width="8.140625" style="75" bestFit="1" customWidth="1"/>
    <col min="13" max="13" width="11.28515625" style="75" bestFit="1" customWidth="1"/>
    <col min="14" max="14" width="36.5703125" style="75" bestFit="1" customWidth="1"/>
    <col min="15" max="15" width="19.140625" style="75" bestFit="1" customWidth="1"/>
    <col min="16" max="16" width="14" style="75" bestFit="1" customWidth="1"/>
    <col min="17" max="17" width="15.5703125" style="75" bestFit="1" customWidth="1"/>
    <col min="18" max="18" width="16.85546875" style="75" bestFit="1" customWidth="1"/>
    <col min="19" max="19" width="19.140625" style="75" bestFit="1" customWidth="1"/>
    <col min="20" max="20" width="20.5703125" style="75" bestFit="1" customWidth="1"/>
    <col min="21" max="21" width="10.28515625" style="75" bestFit="1" customWidth="1"/>
    <col min="22" max="22" width="10.140625" style="75" bestFit="1" customWidth="1"/>
    <col min="23" max="23" width="19.85546875" style="75" bestFit="1" customWidth="1"/>
    <col min="24" max="24" width="15.5703125" style="75" bestFit="1" customWidth="1"/>
    <col min="25" max="25" width="25.7109375" style="75" bestFit="1" customWidth="1"/>
    <col min="26" max="16384" width="8.5703125" style="75"/>
  </cols>
  <sheetData>
    <row r="1" spans="1:26">
      <c r="A1" s="75" t="s">
        <v>881</v>
      </c>
      <c r="B1" s="75" t="s">
        <v>882</v>
      </c>
      <c r="C1" s="75" t="s">
        <v>883</v>
      </c>
      <c r="D1" s="75" t="s">
        <v>884</v>
      </c>
      <c r="E1" s="75" t="s">
        <v>885</v>
      </c>
      <c r="F1" s="75" t="s">
        <v>886</v>
      </c>
      <c r="G1" s="75" t="s">
        <v>887</v>
      </c>
      <c r="H1" s="75" t="s">
        <v>888</v>
      </c>
      <c r="I1" s="75" t="s">
        <v>680</v>
      </c>
      <c r="J1" s="75" t="s">
        <v>889</v>
      </c>
      <c r="K1" s="75" t="s">
        <v>890</v>
      </c>
      <c r="L1" s="75" t="s">
        <v>891</v>
      </c>
      <c r="M1" s="75" t="s">
        <v>892</v>
      </c>
      <c r="N1" s="75" t="s">
        <v>893</v>
      </c>
      <c r="O1" s="75" t="s">
        <v>894</v>
      </c>
      <c r="P1" s="75" t="s">
        <v>895</v>
      </c>
      <c r="Q1" s="75" t="s">
        <v>896</v>
      </c>
      <c r="R1" s="75" t="s">
        <v>897</v>
      </c>
      <c r="S1" s="75" t="s">
        <v>898</v>
      </c>
      <c r="T1" s="75" t="s">
        <v>899</v>
      </c>
      <c r="U1" s="75" t="s">
        <v>900</v>
      </c>
      <c r="V1" s="75" t="s">
        <v>901</v>
      </c>
      <c r="W1" s="75" t="s">
        <v>902</v>
      </c>
      <c r="X1" s="75" t="s">
        <v>903</v>
      </c>
      <c r="Y1" s="75" t="s">
        <v>904</v>
      </c>
    </row>
    <row r="2" spans="1:26">
      <c r="A2" s="75" t="s">
        <v>905</v>
      </c>
      <c r="C2" s="75" t="s">
        <v>906</v>
      </c>
      <c r="D2" s="75" t="s">
        <v>907</v>
      </c>
      <c r="E2" s="75" t="s">
        <v>908</v>
      </c>
      <c r="F2" s="75" t="s">
        <v>909</v>
      </c>
      <c r="G2" s="75" t="s">
        <v>910</v>
      </c>
      <c r="H2" s="75" t="s">
        <v>907</v>
      </c>
      <c r="I2" s="75" t="s">
        <v>7</v>
      </c>
      <c r="J2" s="75" t="s">
        <v>911</v>
      </c>
      <c r="K2" s="75" t="s">
        <v>907</v>
      </c>
      <c r="L2" s="75" t="s">
        <v>907</v>
      </c>
      <c r="M2" s="75" t="s">
        <v>907</v>
      </c>
      <c r="N2" s="75" t="s">
        <v>907</v>
      </c>
      <c r="O2" s="75" t="s">
        <v>907</v>
      </c>
      <c r="P2" s="75" t="s">
        <v>912</v>
      </c>
      <c r="Q2" s="75" t="s">
        <v>913</v>
      </c>
      <c r="R2" s="75" t="s">
        <v>909</v>
      </c>
      <c r="S2" s="75" t="s">
        <v>909</v>
      </c>
      <c r="T2" s="75" t="s">
        <v>909</v>
      </c>
      <c r="U2" s="75" t="s">
        <v>909</v>
      </c>
      <c r="V2" s="75" t="s">
        <v>914</v>
      </c>
      <c r="W2" s="75" t="s">
        <v>915</v>
      </c>
      <c r="X2" s="75" t="s">
        <v>916</v>
      </c>
      <c r="Y2" s="75" t="s">
        <v>917</v>
      </c>
    </row>
    <row r="3" spans="1:26">
      <c r="A3" s="75" t="s">
        <v>905</v>
      </c>
      <c r="C3" s="75" t="s">
        <v>906</v>
      </c>
      <c r="D3" s="75" t="s">
        <v>907</v>
      </c>
      <c r="E3" s="75" t="s">
        <v>918</v>
      </c>
      <c r="F3" s="75" t="s">
        <v>909</v>
      </c>
      <c r="G3" s="75" t="s">
        <v>907</v>
      </c>
      <c r="H3" s="75" t="s">
        <v>907</v>
      </c>
      <c r="I3" s="75" t="s">
        <v>7</v>
      </c>
      <c r="J3" s="75" t="s">
        <v>919</v>
      </c>
      <c r="K3" s="75" t="s">
        <v>907</v>
      </c>
      <c r="L3" s="75" t="s">
        <v>907</v>
      </c>
      <c r="M3" s="75" t="s">
        <v>907</v>
      </c>
      <c r="N3" s="75" t="s">
        <v>920</v>
      </c>
      <c r="O3" s="75" t="s">
        <v>907</v>
      </c>
      <c r="P3" s="75" t="s">
        <v>921</v>
      </c>
      <c r="Q3" s="75" t="s">
        <v>913</v>
      </c>
      <c r="R3" s="75" t="s">
        <v>909</v>
      </c>
      <c r="S3" s="75" t="s">
        <v>922</v>
      </c>
      <c r="T3" s="75" t="s">
        <v>922</v>
      </c>
      <c r="U3" s="75" t="s">
        <v>909</v>
      </c>
      <c r="V3" s="75" t="s">
        <v>923</v>
      </c>
      <c r="W3" s="75" t="s">
        <v>924</v>
      </c>
      <c r="X3" s="75" t="s">
        <v>925</v>
      </c>
      <c r="Y3" s="75" t="s">
        <v>907</v>
      </c>
    </row>
    <row r="4" spans="1:26">
      <c r="A4" s="75" t="s">
        <v>905</v>
      </c>
      <c r="C4" s="75" t="s">
        <v>926</v>
      </c>
      <c r="D4" s="75" t="s">
        <v>907</v>
      </c>
      <c r="E4" s="75" t="s">
        <v>927</v>
      </c>
      <c r="F4" s="75" t="s">
        <v>909</v>
      </c>
      <c r="G4" s="75" t="s">
        <v>907</v>
      </c>
      <c r="H4" s="75" t="s">
        <v>907</v>
      </c>
      <c r="I4" s="75" t="s">
        <v>8</v>
      </c>
      <c r="J4" s="75" t="s">
        <v>928</v>
      </c>
      <c r="K4" s="75" t="s">
        <v>907</v>
      </c>
      <c r="L4" s="75" t="s">
        <v>907</v>
      </c>
      <c r="M4" s="75" t="s">
        <v>907</v>
      </c>
      <c r="N4" s="75" t="s">
        <v>929</v>
      </c>
      <c r="O4" s="75" t="s">
        <v>907</v>
      </c>
      <c r="P4" s="75" t="s">
        <v>930</v>
      </c>
      <c r="Q4" s="75" t="s">
        <v>913</v>
      </c>
      <c r="R4" s="75" t="s">
        <v>909</v>
      </c>
      <c r="S4" s="75" t="s">
        <v>931</v>
      </c>
      <c r="T4" s="75" t="s">
        <v>932</v>
      </c>
      <c r="U4" s="75" t="s">
        <v>909</v>
      </c>
      <c r="V4" s="75" t="s">
        <v>933</v>
      </c>
      <c r="W4" s="75" t="s">
        <v>934</v>
      </c>
      <c r="X4" s="75" t="s">
        <v>935</v>
      </c>
      <c r="Y4" s="75" t="s">
        <v>907</v>
      </c>
    </row>
    <row r="5" spans="1:26">
      <c r="A5" s="75" t="s">
        <v>905</v>
      </c>
      <c r="C5" s="75" t="s">
        <v>926</v>
      </c>
      <c r="D5" s="75" t="s">
        <v>907</v>
      </c>
      <c r="E5" s="75" t="s">
        <v>936</v>
      </c>
      <c r="F5" s="75" t="s">
        <v>909</v>
      </c>
      <c r="G5" s="75" t="s">
        <v>907</v>
      </c>
      <c r="H5" s="75" t="s">
        <v>907</v>
      </c>
      <c r="I5" s="75" t="s">
        <v>8</v>
      </c>
      <c r="J5" s="75" t="s">
        <v>937</v>
      </c>
      <c r="K5" s="75" t="s">
        <v>907</v>
      </c>
      <c r="L5" s="75" t="s">
        <v>907</v>
      </c>
      <c r="M5" s="75" t="s">
        <v>907</v>
      </c>
      <c r="N5" s="75" t="s">
        <v>938</v>
      </c>
      <c r="O5" s="75" t="s">
        <v>939</v>
      </c>
      <c r="P5" s="75" t="s">
        <v>940</v>
      </c>
      <c r="Q5" s="75" t="s">
        <v>913</v>
      </c>
      <c r="R5" s="75" t="s">
        <v>909</v>
      </c>
      <c r="S5" s="75" t="s">
        <v>941</v>
      </c>
      <c r="T5" s="75" t="s">
        <v>941</v>
      </c>
      <c r="U5" s="75" t="s">
        <v>909</v>
      </c>
      <c r="V5" s="75" t="s">
        <v>933</v>
      </c>
      <c r="W5" s="75" t="s">
        <v>942</v>
      </c>
      <c r="X5" s="75" t="s">
        <v>943</v>
      </c>
      <c r="Y5" s="75" t="s">
        <v>907</v>
      </c>
    </row>
    <row r="6" spans="1:26">
      <c r="A6" s="75" t="s">
        <v>905</v>
      </c>
      <c r="C6" s="75" t="s">
        <v>926</v>
      </c>
      <c r="D6" s="75" t="s">
        <v>907</v>
      </c>
      <c r="E6" s="75" t="s">
        <v>944</v>
      </c>
      <c r="F6" s="75" t="s">
        <v>909</v>
      </c>
      <c r="G6" s="75" t="s">
        <v>907</v>
      </c>
      <c r="H6" s="75" t="s">
        <v>907</v>
      </c>
      <c r="I6" s="75" t="s">
        <v>8</v>
      </c>
      <c r="J6" s="75" t="s">
        <v>945</v>
      </c>
      <c r="K6" s="75" t="s">
        <v>907</v>
      </c>
      <c r="L6" s="75" t="s">
        <v>907</v>
      </c>
      <c r="M6" s="75" t="s">
        <v>907</v>
      </c>
      <c r="N6" s="75" t="s">
        <v>946</v>
      </c>
      <c r="O6" s="75" t="s">
        <v>947</v>
      </c>
      <c r="P6" s="75" t="s">
        <v>948</v>
      </c>
      <c r="Q6" s="75" t="s">
        <v>913</v>
      </c>
      <c r="R6" s="75" t="s">
        <v>909</v>
      </c>
      <c r="S6" s="75" t="s">
        <v>941</v>
      </c>
      <c r="T6" s="75" t="s">
        <v>949</v>
      </c>
      <c r="U6" s="75" t="s">
        <v>909</v>
      </c>
      <c r="V6" s="75" t="s">
        <v>950</v>
      </c>
      <c r="W6" s="75" t="s">
        <v>951</v>
      </c>
      <c r="X6" s="75" t="s">
        <v>952</v>
      </c>
      <c r="Y6" s="75" t="s">
        <v>907</v>
      </c>
    </row>
    <row r="7" spans="1:26">
      <c r="A7" s="75" t="s">
        <v>905</v>
      </c>
      <c r="C7" s="75" t="s">
        <v>953</v>
      </c>
      <c r="D7" s="75" t="s">
        <v>907</v>
      </c>
      <c r="E7" s="75" t="s">
        <v>954</v>
      </c>
      <c r="F7" s="75" t="s">
        <v>909</v>
      </c>
      <c r="G7" s="75" t="s">
        <v>955</v>
      </c>
      <c r="H7" s="75" t="s">
        <v>907</v>
      </c>
      <c r="I7" s="75" t="s">
        <v>7</v>
      </c>
      <c r="J7" s="75" t="s">
        <v>956</v>
      </c>
      <c r="K7" s="75" t="s">
        <v>907</v>
      </c>
      <c r="L7" s="75" t="s">
        <v>907</v>
      </c>
      <c r="M7" s="75" t="s">
        <v>907</v>
      </c>
      <c r="N7" s="75" t="s">
        <v>907</v>
      </c>
      <c r="O7" s="75" t="s">
        <v>907</v>
      </c>
      <c r="P7" s="75" t="s">
        <v>957</v>
      </c>
      <c r="Q7" s="75" t="s">
        <v>913</v>
      </c>
      <c r="R7" s="75" t="s">
        <v>909</v>
      </c>
      <c r="S7" s="75" t="s">
        <v>909</v>
      </c>
      <c r="T7" s="75" t="s">
        <v>909</v>
      </c>
      <c r="U7" s="75" t="s">
        <v>909</v>
      </c>
      <c r="V7" s="75" t="s">
        <v>958</v>
      </c>
      <c r="W7" s="75" t="s">
        <v>959</v>
      </c>
      <c r="X7" s="75" t="s">
        <v>916</v>
      </c>
      <c r="Y7" s="75" t="s">
        <v>960</v>
      </c>
    </row>
    <row r="8" spans="1:26">
      <c r="A8" s="75" t="s">
        <v>905</v>
      </c>
      <c r="C8" s="75" t="s">
        <v>953</v>
      </c>
      <c r="D8" s="75" t="s">
        <v>907</v>
      </c>
      <c r="E8" s="75" t="s">
        <v>961</v>
      </c>
      <c r="F8" s="75" t="s">
        <v>909</v>
      </c>
      <c r="G8" s="75" t="s">
        <v>907</v>
      </c>
      <c r="H8" s="75" t="s">
        <v>907</v>
      </c>
      <c r="I8" s="75" t="s">
        <v>7</v>
      </c>
      <c r="J8" s="75" t="s">
        <v>962</v>
      </c>
      <c r="K8" s="75" t="s">
        <v>907</v>
      </c>
      <c r="L8" s="75" t="s">
        <v>907</v>
      </c>
      <c r="M8" s="75" t="s">
        <v>907</v>
      </c>
      <c r="N8" s="75" t="s">
        <v>963</v>
      </c>
      <c r="O8" s="75" t="s">
        <v>907</v>
      </c>
      <c r="P8" s="75" t="s">
        <v>964</v>
      </c>
      <c r="Q8" s="75" t="s">
        <v>913</v>
      </c>
      <c r="R8" s="75" t="s">
        <v>909</v>
      </c>
      <c r="S8" s="75" t="s">
        <v>909</v>
      </c>
      <c r="T8" s="75" t="s">
        <v>909</v>
      </c>
      <c r="U8" s="75" t="s">
        <v>909</v>
      </c>
      <c r="V8" s="75" t="s">
        <v>965</v>
      </c>
      <c r="W8" s="75" t="s">
        <v>966</v>
      </c>
      <c r="X8" s="75" t="s">
        <v>916</v>
      </c>
      <c r="Y8" s="75" t="s">
        <v>967</v>
      </c>
    </row>
    <row r="9" spans="1:26">
      <c r="A9" s="75" t="s">
        <v>905</v>
      </c>
      <c r="C9" s="75" t="s">
        <v>953</v>
      </c>
      <c r="D9" s="75" t="s">
        <v>907</v>
      </c>
      <c r="E9" s="75" t="s">
        <v>968</v>
      </c>
      <c r="F9" s="75" t="s">
        <v>909</v>
      </c>
      <c r="G9" s="75" t="s">
        <v>907</v>
      </c>
      <c r="H9" s="75" t="s">
        <v>907</v>
      </c>
      <c r="I9" s="75" t="s">
        <v>7</v>
      </c>
      <c r="J9" s="75" t="s">
        <v>969</v>
      </c>
      <c r="K9" s="75" t="s">
        <v>907</v>
      </c>
      <c r="L9" s="75" t="s">
        <v>907</v>
      </c>
      <c r="M9" s="75" t="s">
        <v>907</v>
      </c>
      <c r="N9" s="75" t="s">
        <v>970</v>
      </c>
      <c r="O9" s="75" t="s">
        <v>907</v>
      </c>
      <c r="P9" s="75" t="s">
        <v>971</v>
      </c>
      <c r="Q9" s="75" t="s">
        <v>913</v>
      </c>
      <c r="R9" s="75" t="s">
        <v>909</v>
      </c>
      <c r="S9" s="75" t="s">
        <v>909</v>
      </c>
      <c r="T9" s="75" t="s">
        <v>909</v>
      </c>
      <c r="U9" s="75" t="s">
        <v>909</v>
      </c>
      <c r="V9" s="75" t="s">
        <v>972</v>
      </c>
      <c r="W9" s="75" t="s">
        <v>973</v>
      </c>
      <c r="X9" s="75" t="s">
        <v>916</v>
      </c>
      <c r="Y9" s="75" t="s">
        <v>907</v>
      </c>
    </row>
    <row r="10" spans="1:26">
      <c r="A10" s="75" t="s">
        <v>905</v>
      </c>
      <c r="C10" s="75" t="s">
        <v>953</v>
      </c>
      <c r="D10" s="75" t="s">
        <v>907</v>
      </c>
      <c r="E10" s="75" t="s">
        <v>974</v>
      </c>
      <c r="F10" s="75" t="s">
        <v>909</v>
      </c>
      <c r="G10" s="75" t="s">
        <v>907</v>
      </c>
      <c r="H10" s="75" t="s">
        <v>975</v>
      </c>
      <c r="I10" s="75" t="s">
        <v>7</v>
      </c>
      <c r="J10" s="75" t="s">
        <v>976</v>
      </c>
      <c r="K10" s="75" t="s">
        <v>907</v>
      </c>
      <c r="L10" s="75" t="s">
        <v>907</v>
      </c>
      <c r="M10" s="75" t="s">
        <v>907</v>
      </c>
      <c r="N10" s="75" t="s">
        <v>977</v>
      </c>
      <c r="O10" s="75" t="s">
        <v>907</v>
      </c>
      <c r="P10" s="75" t="s">
        <v>978</v>
      </c>
      <c r="Q10" s="75" t="s">
        <v>913</v>
      </c>
      <c r="R10" s="75" t="s">
        <v>909</v>
      </c>
      <c r="S10" s="75" t="s">
        <v>922</v>
      </c>
      <c r="T10" s="75" t="s">
        <v>979</v>
      </c>
      <c r="U10" s="75" t="s">
        <v>909</v>
      </c>
      <c r="V10" s="75" t="s">
        <v>980</v>
      </c>
      <c r="W10" s="75" t="s">
        <v>981</v>
      </c>
      <c r="X10" s="75" t="s">
        <v>982</v>
      </c>
      <c r="Y10" s="75" t="s">
        <v>907</v>
      </c>
    </row>
    <row r="11" spans="1:26">
      <c r="A11" s="75" t="s">
        <v>905</v>
      </c>
      <c r="C11" s="75" t="s">
        <v>953</v>
      </c>
      <c r="D11" s="75" t="s">
        <v>907</v>
      </c>
      <c r="E11" s="75" t="s">
        <v>983</v>
      </c>
      <c r="F11" s="75" t="s">
        <v>909</v>
      </c>
      <c r="G11" s="75" t="s">
        <v>907</v>
      </c>
      <c r="H11" s="75" t="s">
        <v>975</v>
      </c>
      <c r="I11" s="75" t="s">
        <v>7</v>
      </c>
      <c r="J11" s="75" t="s">
        <v>984</v>
      </c>
      <c r="K11" s="75" t="s">
        <v>907</v>
      </c>
      <c r="L11" s="75" t="s">
        <v>907</v>
      </c>
      <c r="M11" s="75" t="s">
        <v>907</v>
      </c>
      <c r="N11" s="75" t="s">
        <v>977</v>
      </c>
      <c r="O11" s="75" t="s">
        <v>907</v>
      </c>
      <c r="P11" s="75" t="s">
        <v>978</v>
      </c>
      <c r="Q11" s="75" t="s">
        <v>913</v>
      </c>
      <c r="R11" s="75" t="s">
        <v>909</v>
      </c>
      <c r="S11" s="75" t="s">
        <v>922</v>
      </c>
      <c r="T11" s="75" t="s">
        <v>979</v>
      </c>
      <c r="U11" s="75" t="s">
        <v>909</v>
      </c>
      <c r="V11" s="75" t="s">
        <v>985</v>
      </c>
      <c r="W11" s="75" t="s">
        <v>986</v>
      </c>
      <c r="X11" s="75" t="s">
        <v>987</v>
      </c>
      <c r="Y11" s="75" t="s">
        <v>907</v>
      </c>
    </row>
    <row r="12" spans="1:26">
      <c r="A12" s="75" t="s">
        <v>905</v>
      </c>
      <c r="C12" s="75" t="s">
        <v>953</v>
      </c>
      <c r="D12" s="75" t="s">
        <v>907</v>
      </c>
      <c r="E12" s="75" t="s">
        <v>988</v>
      </c>
      <c r="F12" s="75" t="s">
        <v>909</v>
      </c>
      <c r="G12" s="75" t="s">
        <v>907</v>
      </c>
      <c r="H12" s="75" t="s">
        <v>907</v>
      </c>
      <c r="I12" s="75" t="s">
        <v>7</v>
      </c>
      <c r="J12" s="75" t="s">
        <v>989</v>
      </c>
      <c r="K12" s="75" t="s">
        <v>907</v>
      </c>
      <c r="L12" s="75" t="s">
        <v>907</v>
      </c>
      <c r="M12" s="75" t="s">
        <v>907</v>
      </c>
      <c r="N12" s="75" t="s">
        <v>990</v>
      </c>
      <c r="O12" s="75" t="s">
        <v>907</v>
      </c>
      <c r="P12" s="75" t="s">
        <v>991</v>
      </c>
      <c r="Q12" s="75" t="s">
        <v>913</v>
      </c>
      <c r="R12" s="75" t="s">
        <v>909</v>
      </c>
      <c r="S12" s="75" t="s">
        <v>979</v>
      </c>
      <c r="T12" s="75" t="s">
        <v>931</v>
      </c>
      <c r="U12" s="75" t="s">
        <v>909</v>
      </c>
      <c r="V12" s="75" t="s">
        <v>992</v>
      </c>
      <c r="W12" s="75" t="s">
        <v>993</v>
      </c>
      <c r="X12" s="75" t="s">
        <v>994</v>
      </c>
      <c r="Y12" s="75" t="s">
        <v>907</v>
      </c>
    </row>
    <row r="13" spans="1:26">
      <c r="A13" s="75" t="s">
        <v>905</v>
      </c>
      <c r="C13" s="75" t="s">
        <v>995</v>
      </c>
      <c r="D13" s="75" t="s">
        <v>907</v>
      </c>
      <c r="E13" s="75" t="s">
        <v>996</v>
      </c>
      <c r="F13" s="75" t="s">
        <v>909</v>
      </c>
      <c r="G13" s="75" t="s">
        <v>907</v>
      </c>
      <c r="H13" s="75" t="s">
        <v>907</v>
      </c>
      <c r="I13" s="75" t="s">
        <v>8</v>
      </c>
      <c r="J13" s="75" t="s">
        <v>997</v>
      </c>
      <c r="K13" s="75" t="s">
        <v>907</v>
      </c>
      <c r="L13" s="75" t="s">
        <v>907</v>
      </c>
      <c r="M13" s="75" t="s">
        <v>907</v>
      </c>
      <c r="N13" s="75" t="s">
        <v>998</v>
      </c>
      <c r="O13" s="75" t="s">
        <v>999</v>
      </c>
      <c r="P13" s="75" t="s">
        <v>1000</v>
      </c>
      <c r="Q13" s="75" t="s">
        <v>913</v>
      </c>
      <c r="R13" s="75" t="s">
        <v>909</v>
      </c>
      <c r="S13" s="75" t="s">
        <v>1001</v>
      </c>
      <c r="T13" s="75" t="s">
        <v>1002</v>
      </c>
      <c r="U13" s="75" t="s">
        <v>909</v>
      </c>
      <c r="V13" s="75" t="s">
        <v>1003</v>
      </c>
      <c r="W13" s="75" t="s">
        <v>1004</v>
      </c>
      <c r="X13" s="75" t="s">
        <v>1005</v>
      </c>
      <c r="Y13" s="75" t="s">
        <v>907</v>
      </c>
    </row>
    <row r="14" spans="1:26">
      <c r="A14" s="75" t="s">
        <v>905</v>
      </c>
      <c r="C14" s="75" t="s">
        <v>1006</v>
      </c>
      <c r="D14" s="75" t="s">
        <v>907</v>
      </c>
      <c r="E14" s="75" t="s">
        <v>1007</v>
      </c>
      <c r="F14" s="75" t="s">
        <v>909</v>
      </c>
      <c r="G14" s="75" t="s">
        <v>907</v>
      </c>
      <c r="H14" s="75" t="s">
        <v>975</v>
      </c>
      <c r="I14" s="75" t="s">
        <v>7</v>
      </c>
      <c r="J14" s="75" t="s">
        <v>1008</v>
      </c>
      <c r="K14" s="75" t="s">
        <v>907</v>
      </c>
      <c r="L14" s="75" t="s">
        <v>907</v>
      </c>
      <c r="M14" s="75" t="s">
        <v>907</v>
      </c>
      <c r="N14" s="75" t="s">
        <v>1009</v>
      </c>
      <c r="O14" s="75" t="s">
        <v>907</v>
      </c>
      <c r="P14" s="75" t="s">
        <v>1010</v>
      </c>
      <c r="Q14" s="75" t="s">
        <v>932</v>
      </c>
      <c r="R14" s="75" t="s">
        <v>909</v>
      </c>
      <c r="S14" s="75" t="s">
        <v>909</v>
      </c>
      <c r="T14" s="75" t="s">
        <v>909</v>
      </c>
      <c r="U14" s="75" t="s">
        <v>909</v>
      </c>
      <c r="V14" s="75" t="s">
        <v>1011</v>
      </c>
      <c r="W14" s="75" t="s">
        <v>1012</v>
      </c>
      <c r="X14" s="75" t="s">
        <v>916</v>
      </c>
      <c r="Y14" s="75" t="s">
        <v>907</v>
      </c>
    </row>
    <row r="15" spans="1:26">
      <c r="A15" s="75" t="s">
        <v>905</v>
      </c>
      <c r="C15" s="75" t="s">
        <v>1013</v>
      </c>
      <c r="D15" s="75" t="s">
        <v>907</v>
      </c>
      <c r="E15" s="75" t="s">
        <v>1014</v>
      </c>
      <c r="F15" s="75" t="s">
        <v>909</v>
      </c>
      <c r="G15" s="75" t="s">
        <v>907</v>
      </c>
      <c r="H15" s="75" t="s">
        <v>907</v>
      </c>
      <c r="I15" s="75" t="s">
        <v>7</v>
      </c>
      <c r="J15" s="75" t="s">
        <v>1015</v>
      </c>
      <c r="K15" s="75" t="s">
        <v>907</v>
      </c>
      <c r="L15" s="75" t="s">
        <v>907</v>
      </c>
      <c r="M15" s="75" t="s">
        <v>907</v>
      </c>
      <c r="N15" s="75" t="s">
        <v>1016</v>
      </c>
      <c r="O15" s="75" t="s">
        <v>907</v>
      </c>
      <c r="P15" s="75" t="s">
        <v>1017</v>
      </c>
      <c r="Q15" s="75" t="s">
        <v>979</v>
      </c>
      <c r="R15" s="75" t="s">
        <v>909</v>
      </c>
      <c r="S15" s="75" t="s">
        <v>909</v>
      </c>
      <c r="T15" s="75" t="s">
        <v>909</v>
      </c>
      <c r="U15" s="75" t="s">
        <v>909</v>
      </c>
      <c r="V15" s="75" t="s">
        <v>1018</v>
      </c>
      <c r="W15" s="75" t="s">
        <v>1019</v>
      </c>
      <c r="X15" s="75" t="s">
        <v>916</v>
      </c>
      <c r="Y15" s="75" t="s">
        <v>907</v>
      </c>
    </row>
    <row r="16" spans="1:26">
      <c r="A16" s="75" t="s">
        <v>905</v>
      </c>
      <c r="C16" s="75" t="s">
        <v>1013</v>
      </c>
      <c r="D16" s="75" t="s">
        <v>907</v>
      </c>
      <c r="E16" s="75" t="s">
        <v>1020</v>
      </c>
      <c r="F16" s="75" t="s">
        <v>909</v>
      </c>
      <c r="G16" s="75" t="s">
        <v>156</v>
      </c>
      <c r="H16" s="137" t="s">
        <v>1021</v>
      </c>
      <c r="I16" s="75" t="s">
        <v>7</v>
      </c>
      <c r="J16" s="75" t="s">
        <v>1022</v>
      </c>
      <c r="K16" s="75" t="s">
        <v>907</v>
      </c>
      <c r="L16" s="75" t="s">
        <v>907</v>
      </c>
      <c r="M16" s="75" t="s">
        <v>907</v>
      </c>
      <c r="N16" s="75" t="s">
        <v>1023</v>
      </c>
      <c r="O16" s="75" t="s">
        <v>907</v>
      </c>
      <c r="P16" s="75" t="s">
        <v>1024</v>
      </c>
      <c r="Q16" s="75" t="s">
        <v>979</v>
      </c>
      <c r="R16" s="75" t="s">
        <v>909</v>
      </c>
      <c r="S16" s="75" t="s">
        <v>909</v>
      </c>
      <c r="T16" s="75" t="s">
        <v>909</v>
      </c>
      <c r="U16" s="75" t="s">
        <v>909</v>
      </c>
      <c r="V16" s="75" t="s">
        <v>1025</v>
      </c>
      <c r="W16" s="75" t="s">
        <v>1026</v>
      </c>
      <c r="X16" s="75" t="s">
        <v>916</v>
      </c>
      <c r="Y16" s="75" t="s">
        <v>907</v>
      </c>
      <c r="Z16" s="75" t="s">
        <v>1027</v>
      </c>
    </row>
    <row r="17" spans="1:26">
      <c r="A17" s="75" t="s">
        <v>905</v>
      </c>
      <c r="C17" s="75" t="s">
        <v>1013</v>
      </c>
      <c r="D17" s="75" t="s">
        <v>907</v>
      </c>
      <c r="E17" s="75" t="s">
        <v>1028</v>
      </c>
      <c r="F17" s="75" t="s">
        <v>909</v>
      </c>
      <c r="G17" s="75" t="s">
        <v>219</v>
      </c>
      <c r="H17" s="75" t="s">
        <v>220</v>
      </c>
      <c r="I17" s="75" t="s">
        <v>7</v>
      </c>
      <c r="J17" s="75" t="s">
        <v>1029</v>
      </c>
      <c r="K17" s="75" t="s">
        <v>907</v>
      </c>
      <c r="L17" s="75" t="s">
        <v>907</v>
      </c>
      <c r="M17" s="75" t="s">
        <v>907</v>
      </c>
      <c r="N17" s="75" t="s">
        <v>1023</v>
      </c>
      <c r="O17" s="75" t="s">
        <v>907</v>
      </c>
      <c r="P17" s="75" t="s">
        <v>1030</v>
      </c>
      <c r="Q17" s="75" t="s">
        <v>979</v>
      </c>
      <c r="R17" s="75" t="s">
        <v>909</v>
      </c>
      <c r="S17" s="75" t="s">
        <v>909</v>
      </c>
      <c r="T17" s="75" t="s">
        <v>909</v>
      </c>
      <c r="U17" s="75" t="s">
        <v>909</v>
      </c>
      <c r="V17" s="75" t="s">
        <v>1031</v>
      </c>
      <c r="W17" s="75" t="s">
        <v>1032</v>
      </c>
      <c r="X17" s="75" t="s">
        <v>916</v>
      </c>
      <c r="Y17" s="75" t="s">
        <v>907</v>
      </c>
    </row>
    <row r="18" spans="1:26">
      <c r="A18" s="75" t="s">
        <v>905</v>
      </c>
      <c r="C18" s="75" t="s">
        <v>1013</v>
      </c>
      <c r="D18" s="75" t="s">
        <v>907</v>
      </c>
      <c r="E18" s="75" t="s">
        <v>1033</v>
      </c>
      <c r="F18" s="75" t="s">
        <v>909</v>
      </c>
      <c r="G18" s="75" t="s">
        <v>1034</v>
      </c>
      <c r="H18" s="137" t="s">
        <v>189</v>
      </c>
      <c r="I18" s="75" t="s">
        <v>7</v>
      </c>
      <c r="J18" s="75" t="s">
        <v>1029</v>
      </c>
      <c r="K18" s="75" t="s">
        <v>907</v>
      </c>
      <c r="L18" s="75" t="s">
        <v>907</v>
      </c>
      <c r="M18" s="75" t="s">
        <v>907</v>
      </c>
      <c r="N18" s="75" t="s">
        <v>1023</v>
      </c>
      <c r="O18" s="75" t="s">
        <v>907</v>
      </c>
      <c r="P18" s="75" t="s">
        <v>1030</v>
      </c>
      <c r="Q18" s="75" t="s">
        <v>979</v>
      </c>
      <c r="R18" s="75" t="s">
        <v>909</v>
      </c>
      <c r="S18" s="75" t="s">
        <v>909</v>
      </c>
      <c r="T18" s="75" t="s">
        <v>909</v>
      </c>
      <c r="U18" s="75" t="s">
        <v>909</v>
      </c>
      <c r="V18" s="75" t="s">
        <v>1031</v>
      </c>
      <c r="W18" s="75" t="s">
        <v>1032</v>
      </c>
      <c r="X18" s="75" t="s">
        <v>916</v>
      </c>
      <c r="Y18" s="75" t="s">
        <v>907</v>
      </c>
      <c r="Z18" s="75" t="s">
        <v>1027</v>
      </c>
    </row>
    <row r="19" spans="1:26">
      <c r="A19" s="75" t="s">
        <v>905</v>
      </c>
      <c r="C19" s="75" t="s">
        <v>1013</v>
      </c>
      <c r="D19" s="75" t="s">
        <v>907</v>
      </c>
      <c r="E19" s="75" t="s">
        <v>1035</v>
      </c>
      <c r="F19" s="75" t="s">
        <v>909</v>
      </c>
      <c r="G19" s="75" t="s">
        <v>1036</v>
      </c>
      <c r="H19" s="75" t="s">
        <v>1037</v>
      </c>
      <c r="I19" s="75" t="s">
        <v>7</v>
      </c>
      <c r="J19" s="75" t="s">
        <v>1029</v>
      </c>
      <c r="K19" s="75" t="s">
        <v>907</v>
      </c>
      <c r="L19" s="75" t="s">
        <v>907</v>
      </c>
      <c r="M19" s="75" t="s">
        <v>907</v>
      </c>
      <c r="N19" s="75" t="s">
        <v>1023</v>
      </c>
      <c r="O19" s="75" t="s">
        <v>907</v>
      </c>
      <c r="P19" s="75" t="s">
        <v>1030</v>
      </c>
      <c r="Q19" s="75" t="s">
        <v>979</v>
      </c>
      <c r="R19" s="75" t="s">
        <v>909</v>
      </c>
      <c r="S19" s="75" t="s">
        <v>909</v>
      </c>
      <c r="T19" s="75" t="s">
        <v>909</v>
      </c>
      <c r="U19" s="75" t="s">
        <v>909</v>
      </c>
      <c r="V19" s="75" t="s">
        <v>1031</v>
      </c>
      <c r="W19" s="75" t="s">
        <v>1032</v>
      </c>
      <c r="X19" s="75" t="s">
        <v>916</v>
      </c>
      <c r="Y19" s="75" t="s">
        <v>907</v>
      </c>
    </row>
    <row r="20" spans="1:26">
      <c r="A20" s="75" t="s">
        <v>905</v>
      </c>
      <c r="C20" s="75" t="s">
        <v>1013</v>
      </c>
      <c r="D20" s="75" t="s">
        <v>907</v>
      </c>
      <c r="E20" s="75" t="s">
        <v>1038</v>
      </c>
      <c r="F20" s="75" t="s">
        <v>909</v>
      </c>
      <c r="G20" s="75" t="s">
        <v>1039</v>
      </c>
      <c r="H20" s="137" t="s">
        <v>204</v>
      </c>
      <c r="I20" s="75" t="s">
        <v>7</v>
      </c>
      <c r="J20" s="75" t="s">
        <v>1029</v>
      </c>
      <c r="K20" s="75" t="s">
        <v>907</v>
      </c>
      <c r="L20" s="75" t="s">
        <v>907</v>
      </c>
      <c r="M20" s="75" t="s">
        <v>907</v>
      </c>
      <c r="N20" s="75" t="s">
        <v>1023</v>
      </c>
      <c r="O20" s="75" t="s">
        <v>907</v>
      </c>
      <c r="P20" s="75" t="s">
        <v>1030</v>
      </c>
      <c r="Q20" s="75" t="s">
        <v>979</v>
      </c>
      <c r="R20" s="75" t="s">
        <v>909</v>
      </c>
      <c r="S20" s="75" t="s">
        <v>909</v>
      </c>
      <c r="T20" s="75" t="s">
        <v>909</v>
      </c>
      <c r="U20" s="75" t="s">
        <v>909</v>
      </c>
      <c r="V20" s="75" t="s">
        <v>1031</v>
      </c>
      <c r="W20" s="75" t="s">
        <v>1032</v>
      </c>
      <c r="X20" s="75" t="s">
        <v>916</v>
      </c>
      <c r="Y20" s="75" t="s">
        <v>907</v>
      </c>
      <c r="Z20" s="75" t="s">
        <v>1027</v>
      </c>
    </row>
    <row r="21" spans="1:26">
      <c r="A21" s="75" t="s">
        <v>905</v>
      </c>
      <c r="C21" s="75" t="s">
        <v>1013</v>
      </c>
      <c r="D21" s="75" t="s">
        <v>907</v>
      </c>
      <c r="E21" s="75" t="s">
        <v>1040</v>
      </c>
      <c r="F21" s="75" t="s">
        <v>909</v>
      </c>
      <c r="G21" s="75" t="s">
        <v>907</v>
      </c>
      <c r="H21" s="75" t="s">
        <v>1041</v>
      </c>
      <c r="I21" s="75" t="s">
        <v>7</v>
      </c>
      <c r="J21" s="75" t="s">
        <v>1042</v>
      </c>
      <c r="K21" s="75" t="s">
        <v>907</v>
      </c>
      <c r="L21" s="75" t="s">
        <v>907</v>
      </c>
      <c r="M21" s="75" t="s">
        <v>907</v>
      </c>
      <c r="N21" s="75" t="s">
        <v>1043</v>
      </c>
      <c r="O21" s="75" t="s">
        <v>907</v>
      </c>
      <c r="P21" s="75" t="s">
        <v>1044</v>
      </c>
      <c r="Q21" s="75" t="s">
        <v>979</v>
      </c>
      <c r="R21" s="75" t="s">
        <v>909</v>
      </c>
      <c r="S21" s="75" t="s">
        <v>909</v>
      </c>
      <c r="T21" s="75" t="s">
        <v>909</v>
      </c>
      <c r="U21" s="75" t="s">
        <v>909</v>
      </c>
      <c r="V21" s="75" t="s">
        <v>1045</v>
      </c>
      <c r="W21" s="75" t="s">
        <v>1046</v>
      </c>
      <c r="X21" s="75" t="s">
        <v>916</v>
      </c>
      <c r="Y21" s="75" t="s">
        <v>907</v>
      </c>
    </row>
    <row r="22" spans="1:26">
      <c r="A22" s="75" t="s">
        <v>905</v>
      </c>
      <c r="C22" s="75" t="s">
        <v>1013</v>
      </c>
      <c r="D22" s="75" t="s">
        <v>907</v>
      </c>
      <c r="E22" s="75" t="s">
        <v>1047</v>
      </c>
      <c r="F22" s="75" t="s">
        <v>909</v>
      </c>
      <c r="G22" s="75" t="s">
        <v>907</v>
      </c>
      <c r="H22" s="75" t="s">
        <v>1048</v>
      </c>
      <c r="I22" s="75" t="s">
        <v>7</v>
      </c>
      <c r="J22" s="75" t="s">
        <v>1042</v>
      </c>
      <c r="K22" s="75" t="s">
        <v>907</v>
      </c>
      <c r="L22" s="75" t="s">
        <v>907</v>
      </c>
      <c r="M22" s="75" t="s">
        <v>907</v>
      </c>
      <c r="N22" s="75" t="s">
        <v>1043</v>
      </c>
      <c r="O22" s="75" t="s">
        <v>907</v>
      </c>
      <c r="P22" s="75" t="s">
        <v>1044</v>
      </c>
      <c r="Q22" s="75" t="s">
        <v>979</v>
      </c>
      <c r="R22" s="75" t="s">
        <v>909</v>
      </c>
      <c r="S22" s="75" t="s">
        <v>909</v>
      </c>
      <c r="T22" s="75" t="s">
        <v>909</v>
      </c>
      <c r="U22" s="75" t="s">
        <v>909</v>
      </c>
      <c r="V22" s="75" t="s">
        <v>1045</v>
      </c>
      <c r="W22" s="75" t="s">
        <v>1046</v>
      </c>
      <c r="X22" s="75" t="s">
        <v>916</v>
      </c>
      <c r="Y22" s="75" t="s">
        <v>907</v>
      </c>
    </row>
    <row r="23" spans="1:26">
      <c r="A23" s="75" t="s">
        <v>905</v>
      </c>
      <c r="C23" s="75" t="s">
        <v>1013</v>
      </c>
      <c r="D23" s="75" t="s">
        <v>907</v>
      </c>
      <c r="E23" s="75" t="s">
        <v>1049</v>
      </c>
      <c r="F23" s="75" t="s">
        <v>909</v>
      </c>
      <c r="G23" s="75" t="s">
        <v>907</v>
      </c>
      <c r="H23" s="75" t="s">
        <v>1050</v>
      </c>
      <c r="I23" s="75" t="s">
        <v>7</v>
      </c>
      <c r="J23" s="75" t="s">
        <v>1042</v>
      </c>
      <c r="K23" s="75" t="s">
        <v>907</v>
      </c>
      <c r="L23" s="75" t="s">
        <v>907</v>
      </c>
      <c r="M23" s="75" t="s">
        <v>907</v>
      </c>
      <c r="N23" s="75" t="s">
        <v>1043</v>
      </c>
      <c r="O23" s="75" t="s">
        <v>907</v>
      </c>
      <c r="P23" s="75" t="s">
        <v>1044</v>
      </c>
      <c r="Q23" s="75" t="s">
        <v>979</v>
      </c>
      <c r="R23" s="75" t="s">
        <v>909</v>
      </c>
      <c r="S23" s="75" t="s">
        <v>909</v>
      </c>
      <c r="T23" s="75" t="s">
        <v>909</v>
      </c>
      <c r="U23" s="75" t="s">
        <v>909</v>
      </c>
      <c r="V23" s="75" t="s">
        <v>1045</v>
      </c>
      <c r="W23" s="75" t="s">
        <v>1046</v>
      </c>
      <c r="X23" s="75" t="s">
        <v>916</v>
      </c>
      <c r="Y23" s="75" t="s">
        <v>907</v>
      </c>
    </row>
    <row r="24" spans="1:26">
      <c r="A24" s="75" t="s">
        <v>905</v>
      </c>
      <c r="C24" s="75" t="s">
        <v>1013</v>
      </c>
      <c r="D24" s="75" t="s">
        <v>907</v>
      </c>
      <c r="E24" s="75" t="s">
        <v>879</v>
      </c>
      <c r="F24" s="75" t="s">
        <v>909</v>
      </c>
      <c r="G24" s="75" t="s">
        <v>876</v>
      </c>
      <c r="H24" s="75" t="s">
        <v>1051</v>
      </c>
      <c r="I24" s="75" t="s">
        <v>7</v>
      </c>
      <c r="J24" s="75" t="s">
        <v>1052</v>
      </c>
      <c r="K24" s="75" t="s">
        <v>907</v>
      </c>
      <c r="L24" s="75" t="s">
        <v>907</v>
      </c>
      <c r="M24" s="75" t="s">
        <v>907</v>
      </c>
      <c r="N24" s="75" t="s">
        <v>1053</v>
      </c>
      <c r="O24" s="75" t="s">
        <v>907</v>
      </c>
      <c r="P24" s="75" t="s">
        <v>880</v>
      </c>
      <c r="Q24" s="75" t="s">
        <v>979</v>
      </c>
      <c r="R24" s="75" t="s">
        <v>909</v>
      </c>
      <c r="S24" s="75" t="s">
        <v>909</v>
      </c>
      <c r="T24" s="75" t="s">
        <v>909</v>
      </c>
      <c r="U24" s="75" t="s">
        <v>909</v>
      </c>
      <c r="V24" s="75" t="s">
        <v>1054</v>
      </c>
      <c r="W24" s="75" t="s">
        <v>1055</v>
      </c>
      <c r="X24" s="75" t="s">
        <v>916</v>
      </c>
      <c r="Y24" s="75" t="s">
        <v>907</v>
      </c>
    </row>
    <row r="25" spans="1:26">
      <c r="A25" s="75" t="s">
        <v>905</v>
      </c>
      <c r="C25" s="75" t="s">
        <v>1013</v>
      </c>
      <c r="D25" s="75" t="s">
        <v>907</v>
      </c>
      <c r="E25" s="75" t="s">
        <v>871</v>
      </c>
      <c r="F25" s="75" t="s">
        <v>909</v>
      </c>
      <c r="G25" s="75" t="s">
        <v>198</v>
      </c>
      <c r="H25" s="137" t="s">
        <v>1056</v>
      </c>
      <c r="I25" s="75" t="s">
        <v>7</v>
      </c>
      <c r="J25" s="75" t="s">
        <v>1057</v>
      </c>
      <c r="K25" s="75" t="s">
        <v>907</v>
      </c>
      <c r="L25" s="75" t="s">
        <v>907</v>
      </c>
      <c r="M25" s="75" t="s">
        <v>907</v>
      </c>
      <c r="N25" s="75" t="s">
        <v>1053</v>
      </c>
      <c r="O25" s="75" t="s">
        <v>907</v>
      </c>
      <c r="P25" s="75" t="s">
        <v>872</v>
      </c>
      <c r="Q25" s="75" t="s">
        <v>979</v>
      </c>
      <c r="R25" s="75" t="s">
        <v>909</v>
      </c>
      <c r="S25" s="75" t="s">
        <v>909</v>
      </c>
      <c r="T25" s="75" t="s">
        <v>909</v>
      </c>
      <c r="U25" s="75" t="s">
        <v>909</v>
      </c>
      <c r="V25" s="75" t="s">
        <v>1058</v>
      </c>
      <c r="W25" s="75" t="s">
        <v>1059</v>
      </c>
      <c r="X25" s="75" t="s">
        <v>916</v>
      </c>
      <c r="Y25" s="75" t="s">
        <v>907</v>
      </c>
      <c r="Z25" s="75" t="s">
        <v>1027</v>
      </c>
    </row>
    <row r="26" spans="1:26">
      <c r="A26" s="75" t="s">
        <v>905</v>
      </c>
      <c r="C26" s="75" t="s">
        <v>1013</v>
      </c>
      <c r="D26" s="75" t="s">
        <v>907</v>
      </c>
      <c r="E26" s="75" t="s">
        <v>1060</v>
      </c>
      <c r="F26" s="75" t="s">
        <v>909</v>
      </c>
      <c r="G26" s="75" t="s">
        <v>907</v>
      </c>
      <c r="H26" s="75" t="s">
        <v>975</v>
      </c>
      <c r="I26" s="75" t="s">
        <v>7</v>
      </c>
      <c r="J26" s="76" t="s">
        <v>1061</v>
      </c>
      <c r="K26" s="75" t="s">
        <v>907</v>
      </c>
      <c r="L26" s="75" t="s">
        <v>907</v>
      </c>
      <c r="M26" s="75" t="s">
        <v>907</v>
      </c>
      <c r="N26" s="75" t="s">
        <v>1062</v>
      </c>
      <c r="O26" s="75" t="s">
        <v>907</v>
      </c>
      <c r="P26" s="75" t="s">
        <v>1063</v>
      </c>
      <c r="Q26" s="75" t="s">
        <v>979</v>
      </c>
      <c r="R26" s="75" t="s">
        <v>909</v>
      </c>
      <c r="S26" s="75" t="s">
        <v>909</v>
      </c>
      <c r="T26" s="75" t="s">
        <v>909</v>
      </c>
      <c r="U26" s="75" t="s">
        <v>909</v>
      </c>
      <c r="V26" s="75" t="s">
        <v>1064</v>
      </c>
      <c r="W26" s="75" t="s">
        <v>1065</v>
      </c>
      <c r="X26" s="75" t="s">
        <v>916</v>
      </c>
      <c r="Y26" s="75" t="s">
        <v>907</v>
      </c>
    </row>
    <row r="27" spans="1:26">
      <c r="A27" s="75" t="s">
        <v>905</v>
      </c>
      <c r="C27" s="75" t="s">
        <v>1013</v>
      </c>
      <c r="D27" s="75" t="s">
        <v>907</v>
      </c>
      <c r="E27" s="75" t="s">
        <v>1066</v>
      </c>
      <c r="F27" s="75" t="s">
        <v>909</v>
      </c>
      <c r="G27" s="75" t="s">
        <v>907</v>
      </c>
      <c r="H27" s="75" t="s">
        <v>975</v>
      </c>
      <c r="I27" s="75" t="s">
        <v>7</v>
      </c>
      <c r="J27" s="76" t="s">
        <v>1061</v>
      </c>
      <c r="K27" s="75" t="s">
        <v>907</v>
      </c>
      <c r="L27" s="75" t="s">
        <v>907</v>
      </c>
      <c r="M27" s="75" t="s">
        <v>907</v>
      </c>
      <c r="N27" s="75" t="s">
        <v>1062</v>
      </c>
      <c r="O27" s="75" t="s">
        <v>907</v>
      </c>
      <c r="P27" s="75" t="s">
        <v>1063</v>
      </c>
      <c r="Q27" s="75" t="s">
        <v>979</v>
      </c>
      <c r="R27" s="75" t="s">
        <v>909</v>
      </c>
      <c r="S27" s="75" t="s">
        <v>909</v>
      </c>
      <c r="T27" s="75" t="s">
        <v>909</v>
      </c>
      <c r="U27" s="75" t="s">
        <v>909</v>
      </c>
      <c r="V27" s="75" t="s">
        <v>1064</v>
      </c>
      <c r="W27" s="75" t="s">
        <v>1065</v>
      </c>
      <c r="X27" s="75" t="s">
        <v>916</v>
      </c>
      <c r="Y27" s="75" t="s">
        <v>907</v>
      </c>
    </row>
    <row r="28" spans="1:26">
      <c r="A28" s="75" t="s">
        <v>905</v>
      </c>
      <c r="C28" s="75" t="s">
        <v>1013</v>
      </c>
      <c r="D28" s="75" t="s">
        <v>907</v>
      </c>
      <c r="E28" s="75" t="s">
        <v>1067</v>
      </c>
      <c r="F28" s="75" t="s">
        <v>909</v>
      </c>
      <c r="G28" s="75" t="s">
        <v>907</v>
      </c>
      <c r="H28" s="75" t="s">
        <v>975</v>
      </c>
      <c r="I28" s="75" t="s">
        <v>7</v>
      </c>
      <c r="J28" s="76" t="s">
        <v>1061</v>
      </c>
      <c r="K28" s="75" t="s">
        <v>907</v>
      </c>
      <c r="L28" s="75" t="s">
        <v>907</v>
      </c>
      <c r="M28" s="75" t="s">
        <v>907</v>
      </c>
      <c r="N28" s="75" t="s">
        <v>1062</v>
      </c>
      <c r="O28" s="75" t="s">
        <v>907</v>
      </c>
      <c r="P28" s="75" t="s">
        <v>1063</v>
      </c>
      <c r="Q28" s="75" t="s">
        <v>979</v>
      </c>
      <c r="R28" s="75" t="s">
        <v>909</v>
      </c>
      <c r="S28" s="75" t="s">
        <v>909</v>
      </c>
      <c r="T28" s="75" t="s">
        <v>909</v>
      </c>
      <c r="U28" s="75" t="s">
        <v>909</v>
      </c>
      <c r="V28" s="75" t="s">
        <v>1064</v>
      </c>
      <c r="W28" s="75" t="s">
        <v>1065</v>
      </c>
      <c r="X28" s="75" t="s">
        <v>916</v>
      </c>
      <c r="Y28" s="75" t="s">
        <v>907</v>
      </c>
    </row>
    <row r="29" spans="1:26">
      <c r="A29" s="75" t="s">
        <v>905</v>
      </c>
      <c r="C29" s="75" t="s">
        <v>1013</v>
      </c>
      <c r="D29" s="75" t="s">
        <v>907</v>
      </c>
      <c r="E29" s="75" t="s">
        <v>1068</v>
      </c>
      <c r="F29" s="75" t="s">
        <v>909</v>
      </c>
      <c r="G29" s="75" t="s">
        <v>907</v>
      </c>
      <c r="H29" s="75" t="s">
        <v>975</v>
      </c>
      <c r="I29" s="75" t="s">
        <v>7</v>
      </c>
      <c r="J29" s="76" t="s">
        <v>1061</v>
      </c>
      <c r="K29" s="75" t="s">
        <v>907</v>
      </c>
      <c r="L29" s="75" t="s">
        <v>907</v>
      </c>
      <c r="M29" s="75" t="s">
        <v>907</v>
      </c>
      <c r="N29" s="75" t="s">
        <v>1062</v>
      </c>
      <c r="O29" s="75" t="s">
        <v>907</v>
      </c>
      <c r="P29" s="75" t="s">
        <v>1063</v>
      </c>
      <c r="Q29" s="75" t="s">
        <v>979</v>
      </c>
      <c r="R29" s="75" t="s">
        <v>909</v>
      </c>
      <c r="S29" s="75" t="s">
        <v>909</v>
      </c>
      <c r="T29" s="75" t="s">
        <v>909</v>
      </c>
      <c r="U29" s="75" t="s">
        <v>909</v>
      </c>
      <c r="V29" s="75" t="s">
        <v>1064</v>
      </c>
      <c r="W29" s="75" t="s">
        <v>1065</v>
      </c>
      <c r="X29" s="75" t="s">
        <v>916</v>
      </c>
      <c r="Y29" s="75" t="s">
        <v>907</v>
      </c>
    </row>
    <row r="30" spans="1:26">
      <c r="A30" s="75" t="s">
        <v>905</v>
      </c>
      <c r="C30" s="75" t="s">
        <v>1013</v>
      </c>
      <c r="D30" s="75" t="s">
        <v>907</v>
      </c>
      <c r="E30" s="75" t="s">
        <v>94</v>
      </c>
      <c r="F30" s="75" t="s">
        <v>909</v>
      </c>
      <c r="G30" s="75" t="s">
        <v>1069</v>
      </c>
      <c r="H30" s="75" t="s">
        <v>1070</v>
      </c>
      <c r="I30" s="75" t="s">
        <v>7</v>
      </c>
      <c r="J30" s="75" t="s">
        <v>1071</v>
      </c>
      <c r="K30" s="75" t="s">
        <v>907</v>
      </c>
      <c r="L30" s="75" t="s">
        <v>907</v>
      </c>
      <c r="M30" s="75" t="s">
        <v>907</v>
      </c>
      <c r="N30" s="75" t="s">
        <v>1072</v>
      </c>
      <c r="O30" s="75" t="s">
        <v>907</v>
      </c>
      <c r="P30" s="75" t="s">
        <v>1073</v>
      </c>
      <c r="Q30" s="75" t="s">
        <v>979</v>
      </c>
      <c r="R30" s="75" t="s">
        <v>909</v>
      </c>
      <c r="S30" s="75" t="s">
        <v>909</v>
      </c>
      <c r="T30" s="75" t="s">
        <v>909</v>
      </c>
      <c r="U30" s="75" t="s">
        <v>909</v>
      </c>
      <c r="V30" s="75" t="s">
        <v>1074</v>
      </c>
      <c r="W30" s="75" t="s">
        <v>1075</v>
      </c>
      <c r="X30" s="75" t="s">
        <v>916</v>
      </c>
      <c r="Y30" s="75" t="s">
        <v>907</v>
      </c>
    </row>
    <row r="31" spans="1:26">
      <c r="A31" s="75" t="s">
        <v>905</v>
      </c>
      <c r="C31" s="75" t="s">
        <v>1013</v>
      </c>
      <c r="D31" s="75" t="s">
        <v>907</v>
      </c>
      <c r="E31" s="75" t="s">
        <v>1076</v>
      </c>
      <c r="F31" s="75" t="s">
        <v>909</v>
      </c>
      <c r="G31" s="75" t="s">
        <v>1077</v>
      </c>
      <c r="H31" s="137" t="s">
        <v>194</v>
      </c>
      <c r="I31" s="75" t="s">
        <v>7</v>
      </c>
      <c r="J31" s="75" t="s">
        <v>1078</v>
      </c>
      <c r="K31" s="75" t="s">
        <v>907</v>
      </c>
      <c r="L31" s="75" t="s">
        <v>907</v>
      </c>
      <c r="M31" s="75" t="s">
        <v>907</v>
      </c>
      <c r="N31" s="75" t="s">
        <v>1023</v>
      </c>
      <c r="O31" s="75" t="s">
        <v>907</v>
      </c>
      <c r="P31" s="75" t="s">
        <v>1079</v>
      </c>
      <c r="Q31" s="75" t="s">
        <v>979</v>
      </c>
      <c r="R31" s="75" t="s">
        <v>909</v>
      </c>
      <c r="S31" s="75" t="s">
        <v>909</v>
      </c>
      <c r="T31" s="75" t="s">
        <v>909</v>
      </c>
      <c r="U31" s="75" t="s">
        <v>909</v>
      </c>
      <c r="V31" s="75" t="s">
        <v>1080</v>
      </c>
      <c r="W31" s="75" t="s">
        <v>1081</v>
      </c>
      <c r="X31" s="75" t="s">
        <v>916</v>
      </c>
      <c r="Y31" s="75" t="s">
        <v>907</v>
      </c>
      <c r="Z31" s="75" t="s">
        <v>1027</v>
      </c>
    </row>
    <row r="32" spans="1:26">
      <c r="A32" s="75" t="s">
        <v>905</v>
      </c>
      <c r="C32" s="75" t="s">
        <v>1013</v>
      </c>
      <c r="D32" s="75" t="s">
        <v>907</v>
      </c>
      <c r="E32" s="75" t="s">
        <v>1082</v>
      </c>
      <c r="F32" s="75" t="s">
        <v>909</v>
      </c>
      <c r="G32" s="75" t="s">
        <v>250</v>
      </c>
      <c r="H32" s="75" t="s">
        <v>251</v>
      </c>
      <c r="I32" s="75" t="s">
        <v>7</v>
      </c>
      <c r="J32" s="75" t="s">
        <v>853</v>
      </c>
      <c r="K32" s="75" t="s">
        <v>907</v>
      </c>
      <c r="L32" s="75" t="s">
        <v>907</v>
      </c>
      <c r="M32" s="75" t="s">
        <v>907</v>
      </c>
      <c r="N32" s="75" t="s">
        <v>1062</v>
      </c>
      <c r="O32" s="75" t="s">
        <v>907</v>
      </c>
      <c r="P32" s="75" t="s">
        <v>1083</v>
      </c>
      <c r="Q32" s="75" t="s">
        <v>979</v>
      </c>
      <c r="R32" s="75" t="s">
        <v>909</v>
      </c>
      <c r="S32" s="75" t="s">
        <v>909</v>
      </c>
      <c r="T32" s="75" t="s">
        <v>909</v>
      </c>
      <c r="U32" s="75" t="s">
        <v>909</v>
      </c>
      <c r="V32" s="75" t="s">
        <v>1084</v>
      </c>
      <c r="W32" s="75" t="s">
        <v>1085</v>
      </c>
      <c r="X32" s="75" t="s">
        <v>916</v>
      </c>
      <c r="Y32" s="75" t="s">
        <v>907</v>
      </c>
    </row>
    <row r="33" spans="1:26">
      <c r="A33" s="75" t="s">
        <v>905</v>
      </c>
      <c r="C33" s="75" t="s">
        <v>1013</v>
      </c>
      <c r="D33" s="75" t="s">
        <v>907</v>
      </c>
      <c r="E33" s="75" t="s">
        <v>245</v>
      </c>
      <c r="F33" s="75" t="s">
        <v>909</v>
      </c>
      <c r="G33" s="75" t="s">
        <v>243</v>
      </c>
      <c r="H33" s="75" t="s">
        <v>1086</v>
      </c>
      <c r="I33" s="75" t="s">
        <v>7</v>
      </c>
      <c r="J33" s="75" t="s">
        <v>858</v>
      </c>
      <c r="K33" s="75" t="s">
        <v>907</v>
      </c>
      <c r="L33" s="75" t="s">
        <v>907</v>
      </c>
      <c r="M33" s="75" t="s">
        <v>907</v>
      </c>
      <c r="N33" s="75" t="s">
        <v>1053</v>
      </c>
      <c r="O33" s="75" t="s">
        <v>907</v>
      </c>
      <c r="P33" s="75" t="s">
        <v>1087</v>
      </c>
      <c r="Q33" s="75" t="s">
        <v>979</v>
      </c>
      <c r="R33" s="75" t="s">
        <v>909</v>
      </c>
      <c r="S33" s="75" t="s">
        <v>909</v>
      </c>
      <c r="T33" s="75" t="s">
        <v>909</v>
      </c>
      <c r="U33" s="75" t="s">
        <v>909</v>
      </c>
      <c r="V33" s="75" t="s">
        <v>1088</v>
      </c>
      <c r="W33" s="75" t="s">
        <v>1089</v>
      </c>
      <c r="X33" s="75" t="s">
        <v>916</v>
      </c>
      <c r="Y33" s="75" t="s">
        <v>907</v>
      </c>
    </row>
    <row r="34" spans="1:26">
      <c r="A34" s="75" t="s">
        <v>905</v>
      </c>
      <c r="C34" s="75" t="s">
        <v>1013</v>
      </c>
      <c r="D34" s="75" t="s">
        <v>907</v>
      </c>
      <c r="E34" s="75" t="s">
        <v>1090</v>
      </c>
      <c r="F34" s="75" t="s">
        <v>909</v>
      </c>
      <c r="G34" s="75" t="s">
        <v>723</v>
      </c>
      <c r="H34" s="75" t="s">
        <v>1091</v>
      </c>
      <c r="I34" s="75" t="s">
        <v>7</v>
      </c>
      <c r="J34" s="75" t="s">
        <v>1092</v>
      </c>
      <c r="K34" s="75" t="s">
        <v>907</v>
      </c>
      <c r="L34" s="75" t="s">
        <v>907</v>
      </c>
      <c r="M34" s="75" t="s">
        <v>907</v>
      </c>
      <c r="N34" s="75" t="s">
        <v>1053</v>
      </c>
      <c r="O34" s="75" t="s">
        <v>907</v>
      </c>
      <c r="P34" s="75" t="s">
        <v>1093</v>
      </c>
      <c r="Q34" s="75" t="s">
        <v>979</v>
      </c>
      <c r="R34" s="75" t="s">
        <v>909</v>
      </c>
      <c r="S34" s="75" t="s">
        <v>909</v>
      </c>
      <c r="T34" s="75" t="s">
        <v>909</v>
      </c>
      <c r="U34" s="75" t="s">
        <v>909</v>
      </c>
      <c r="V34" s="75" t="s">
        <v>1094</v>
      </c>
      <c r="W34" s="75" t="s">
        <v>1095</v>
      </c>
      <c r="X34" s="75" t="s">
        <v>916</v>
      </c>
      <c r="Y34" s="75" t="s">
        <v>907</v>
      </c>
    </row>
    <row r="35" spans="1:26">
      <c r="A35" s="75" t="s">
        <v>905</v>
      </c>
      <c r="C35" s="75" t="s">
        <v>1013</v>
      </c>
      <c r="D35" s="75" t="s">
        <v>907</v>
      </c>
      <c r="E35" s="75" t="s">
        <v>1096</v>
      </c>
      <c r="F35" s="75" t="s">
        <v>909</v>
      </c>
      <c r="G35" s="75" t="s">
        <v>175</v>
      </c>
      <c r="H35" s="137" t="s">
        <v>1097</v>
      </c>
      <c r="I35" s="75" t="s">
        <v>7</v>
      </c>
      <c r="J35" s="75" t="s">
        <v>1098</v>
      </c>
      <c r="K35" s="75" t="s">
        <v>907</v>
      </c>
      <c r="L35" s="75" t="s">
        <v>907</v>
      </c>
      <c r="M35" s="75" t="s">
        <v>907</v>
      </c>
      <c r="N35" s="75" t="s">
        <v>1053</v>
      </c>
      <c r="O35" s="75" t="s">
        <v>907</v>
      </c>
      <c r="P35" s="75" t="s">
        <v>1099</v>
      </c>
      <c r="Q35" s="75" t="s">
        <v>979</v>
      </c>
      <c r="R35" s="75" t="s">
        <v>909</v>
      </c>
      <c r="S35" s="75" t="s">
        <v>909</v>
      </c>
      <c r="T35" s="75" t="s">
        <v>909</v>
      </c>
      <c r="U35" s="75" t="s">
        <v>909</v>
      </c>
      <c r="V35" s="75" t="s">
        <v>1100</v>
      </c>
      <c r="W35" s="75" t="s">
        <v>1101</v>
      </c>
      <c r="X35" s="75" t="s">
        <v>916</v>
      </c>
      <c r="Y35" s="75" t="s">
        <v>907</v>
      </c>
      <c r="Z35" s="75" t="s">
        <v>1027</v>
      </c>
    </row>
    <row r="36" spans="1:26">
      <c r="A36" s="75" t="s">
        <v>905</v>
      </c>
      <c r="C36" s="75" t="s">
        <v>1013</v>
      </c>
      <c r="D36" s="75" t="s">
        <v>907</v>
      </c>
      <c r="E36" s="75" t="s">
        <v>1102</v>
      </c>
      <c r="F36" s="75" t="s">
        <v>909</v>
      </c>
      <c r="G36" s="75" t="s">
        <v>1103</v>
      </c>
      <c r="H36" s="75" t="s">
        <v>106</v>
      </c>
      <c r="I36" s="75" t="s">
        <v>7</v>
      </c>
      <c r="J36" s="75" t="s">
        <v>1104</v>
      </c>
      <c r="K36" s="75" t="s">
        <v>907</v>
      </c>
      <c r="L36" s="75" t="s">
        <v>907</v>
      </c>
      <c r="M36" s="75" t="s">
        <v>907</v>
      </c>
      <c r="N36" s="75" t="s">
        <v>1072</v>
      </c>
      <c r="O36" s="75" t="s">
        <v>907</v>
      </c>
      <c r="P36" s="75" t="s">
        <v>1105</v>
      </c>
      <c r="Q36" s="75" t="s">
        <v>979</v>
      </c>
      <c r="R36" s="75" t="s">
        <v>909</v>
      </c>
      <c r="S36" s="75" t="s">
        <v>909</v>
      </c>
      <c r="T36" s="75" t="s">
        <v>909</v>
      </c>
      <c r="U36" s="75" t="s">
        <v>909</v>
      </c>
      <c r="V36" s="75" t="s">
        <v>1106</v>
      </c>
      <c r="W36" s="75" t="s">
        <v>1107</v>
      </c>
      <c r="X36" s="75" t="s">
        <v>916</v>
      </c>
      <c r="Y36" s="75" t="s">
        <v>907</v>
      </c>
    </row>
    <row r="37" spans="1:26">
      <c r="A37" s="75" t="s">
        <v>905</v>
      </c>
      <c r="C37" s="75" t="s">
        <v>1013</v>
      </c>
      <c r="D37" s="75" t="s">
        <v>907</v>
      </c>
      <c r="E37" s="75" t="s">
        <v>1108</v>
      </c>
      <c r="F37" s="75" t="s">
        <v>909</v>
      </c>
      <c r="G37" s="75" t="s">
        <v>1109</v>
      </c>
      <c r="H37" s="75" t="s">
        <v>574</v>
      </c>
      <c r="I37" s="75" t="s">
        <v>7</v>
      </c>
      <c r="J37" s="75" t="s">
        <v>1110</v>
      </c>
      <c r="K37" s="75" t="s">
        <v>907</v>
      </c>
      <c r="L37" s="75" t="s">
        <v>907</v>
      </c>
      <c r="M37" s="75" t="s">
        <v>907</v>
      </c>
      <c r="N37" s="75" t="s">
        <v>1072</v>
      </c>
      <c r="O37" s="75" t="s">
        <v>907</v>
      </c>
      <c r="P37" s="75" t="s">
        <v>1111</v>
      </c>
      <c r="Q37" s="75" t="s">
        <v>979</v>
      </c>
      <c r="R37" s="75" t="s">
        <v>909</v>
      </c>
      <c r="S37" s="75" t="s">
        <v>909</v>
      </c>
      <c r="T37" s="75" t="s">
        <v>909</v>
      </c>
      <c r="U37" s="75" t="s">
        <v>909</v>
      </c>
      <c r="V37" s="75" t="s">
        <v>1112</v>
      </c>
      <c r="W37" s="75" t="s">
        <v>1113</v>
      </c>
      <c r="X37" s="75" t="s">
        <v>916</v>
      </c>
      <c r="Y37" s="75" t="s">
        <v>907</v>
      </c>
    </row>
    <row r="38" spans="1:26">
      <c r="A38" s="75" t="s">
        <v>905</v>
      </c>
      <c r="C38" s="75" t="s">
        <v>1013</v>
      </c>
      <c r="D38" s="75" t="s">
        <v>907</v>
      </c>
      <c r="E38" s="75" t="s">
        <v>1114</v>
      </c>
      <c r="F38" s="75" t="s">
        <v>909</v>
      </c>
      <c r="G38" s="75" t="s">
        <v>1115</v>
      </c>
      <c r="H38" s="75" t="s">
        <v>1116</v>
      </c>
      <c r="I38" s="75" t="s">
        <v>7</v>
      </c>
      <c r="J38" s="75" t="s">
        <v>1110</v>
      </c>
      <c r="K38" s="75" t="s">
        <v>907</v>
      </c>
      <c r="L38" s="75" t="s">
        <v>907</v>
      </c>
      <c r="M38" s="75" t="s">
        <v>907</v>
      </c>
      <c r="N38" s="75" t="s">
        <v>1072</v>
      </c>
      <c r="O38" s="75" t="s">
        <v>907</v>
      </c>
      <c r="P38" s="75" t="s">
        <v>1111</v>
      </c>
      <c r="Q38" s="75" t="s">
        <v>979</v>
      </c>
      <c r="R38" s="75" t="s">
        <v>909</v>
      </c>
      <c r="S38" s="75" t="s">
        <v>909</v>
      </c>
      <c r="T38" s="75" t="s">
        <v>909</v>
      </c>
      <c r="U38" s="75" t="s">
        <v>909</v>
      </c>
      <c r="V38" s="75" t="s">
        <v>1112</v>
      </c>
      <c r="W38" s="75" t="s">
        <v>1113</v>
      </c>
      <c r="X38" s="75" t="s">
        <v>916</v>
      </c>
      <c r="Y38" s="75" t="s">
        <v>907</v>
      </c>
    </row>
    <row r="39" spans="1:26">
      <c r="A39" s="75" t="s">
        <v>905</v>
      </c>
      <c r="C39" s="75" t="s">
        <v>1013</v>
      </c>
      <c r="D39" s="75" t="s">
        <v>907</v>
      </c>
      <c r="E39" s="75" t="s">
        <v>1117</v>
      </c>
      <c r="F39" s="75" t="s">
        <v>909</v>
      </c>
      <c r="G39" s="75" t="s">
        <v>1118</v>
      </c>
      <c r="H39" s="75" t="s">
        <v>552</v>
      </c>
      <c r="I39" s="75" t="s">
        <v>7</v>
      </c>
      <c r="J39" s="75" t="s">
        <v>1110</v>
      </c>
      <c r="K39" s="75" t="s">
        <v>907</v>
      </c>
      <c r="L39" s="75" t="s">
        <v>907</v>
      </c>
      <c r="M39" s="75" t="s">
        <v>907</v>
      </c>
      <c r="N39" s="75" t="s">
        <v>1072</v>
      </c>
      <c r="O39" s="75" t="s">
        <v>907</v>
      </c>
      <c r="P39" s="75" t="s">
        <v>1111</v>
      </c>
      <c r="Q39" s="75" t="s">
        <v>979</v>
      </c>
      <c r="R39" s="75" t="s">
        <v>909</v>
      </c>
      <c r="S39" s="75" t="s">
        <v>909</v>
      </c>
      <c r="T39" s="75" t="s">
        <v>909</v>
      </c>
      <c r="U39" s="75" t="s">
        <v>909</v>
      </c>
      <c r="V39" s="75" t="s">
        <v>1112</v>
      </c>
      <c r="W39" s="75" t="s">
        <v>1113</v>
      </c>
      <c r="X39" s="75" t="s">
        <v>916</v>
      </c>
      <c r="Y39" s="75" t="s">
        <v>907</v>
      </c>
    </row>
    <row r="40" spans="1:26">
      <c r="A40" s="75" t="s">
        <v>905</v>
      </c>
      <c r="C40" s="75" t="s">
        <v>1013</v>
      </c>
      <c r="D40" s="75" t="s">
        <v>907</v>
      </c>
      <c r="E40" s="75" t="s">
        <v>1119</v>
      </c>
      <c r="F40" s="75" t="s">
        <v>909</v>
      </c>
      <c r="G40" s="75" t="s">
        <v>1120</v>
      </c>
      <c r="H40" s="75" t="s">
        <v>564</v>
      </c>
      <c r="I40" s="75" t="s">
        <v>7</v>
      </c>
      <c r="J40" s="75" t="s">
        <v>1110</v>
      </c>
      <c r="K40" s="75" t="s">
        <v>907</v>
      </c>
      <c r="L40" s="75" t="s">
        <v>907</v>
      </c>
      <c r="M40" s="75" t="s">
        <v>907</v>
      </c>
      <c r="N40" s="75" t="s">
        <v>1072</v>
      </c>
      <c r="O40" s="75" t="s">
        <v>907</v>
      </c>
      <c r="P40" s="75" t="s">
        <v>1111</v>
      </c>
      <c r="Q40" s="75" t="s">
        <v>979</v>
      </c>
      <c r="R40" s="75" t="s">
        <v>909</v>
      </c>
      <c r="S40" s="75" t="s">
        <v>909</v>
      </c>
      <c r="T40" s="75" t="s">
        <v>909</v>
      </c>
      <c r="U40" s="75" t="s">
        <v>909</v>
      </c>
      <c r="V40" s="75" t="s">
        <v>1112</v>
      </c>
      <c r="W40" s="75" t="s">
        <v>1113</v>
      </c>
      <c r="X40" s="75" t="s">
        <v>916</v>
      </c>
      <c r="Y40" s="75" t="s">
        <v>907</v>
      </c>
    </row>
    <row r="41" spans="1:26">
      <c r="A41" s="75" t="s">
        <v>905</v>
      </c>
      <c r="C41" s="75" t="s">
        <v>1013</v>
      </c>
      <c r="D41" s="75" t="s">
        <v>907</v>
      </c>
      <c r="E41" s="75" t="s">
        <v>1121</v>
      </c>
      <c r="F41" s="75" t="s">
        <v>909</v>
      </c>
      <c r="G41" s="75" t="s">
        <v>1122</v>
      </c>
      <c r="H41" s="75" t="s">
        <v>541</v>
      </c>
      <c r="I41" s="75" t="s">
        <v>7</v>
      </c>
      <c r="J41" s="75" t="s">
        <v>1110</v>
      </c>
      <c r="K41" s="75" t="s">
        <v>907</v>
      </c>
      <c r="L41" s="75" t="s">
        <v>907</v>
      </c>
      <c r="M41" s="75" t="s">
        <v>907</v>
      </c>
      <c r="N41" s="75" t="s">
        <v>1072</v>
      </c>
      <c r="O41" s="75" t="s">
        <v>907</v>
      </c>
      <c r="P41" s="75" t="s">
        <v>1111</v>
      </c>
      <c r="Q41" s="75" t="s">
        <v>979</v>
      </c>
      <c r="R41" s="75" t="s">
        <v>909</v>
      </c>
      <c r="S41" s="75" t="s">
        <v>909</v>
      </c>
      <c r="T41" s="75" t="s">
        <v>909</v>
      </c>
      <c r="U41" s="75" t="s">
        <v>909</v>
      </c>
      <c r="V41" s="75" t="s">
        <v>1112</v>
      </c>
      <c r="W41" s="75" t="s">
        <v>1113</v>
      </c>
      <c r="X41" s="75" t="s">
        <v>916</v>
      </c>
      <c r="Y41" s="75" t="s">
        <v>907</v>
      </c>
    </row>
    <row r="42" spans="1:26">
      <c r="A42" s="75" t="s">
        <v>905</v>
      </c>
      <c r="C42" s="75" t="s">
        <v>1013</v>
      </c>
      <c r="D42" s="75" t="s">
        <v>907</v>
      </c>
      <c r="E42" s="75" t="s">
        <v>1123</v>
      </c>
      <c r="F42" s="75" t="s">
        <v>909</v>
      </c>
      <c r="G42" s="75" t="s">
        <v>1124</v>
      </c>
      <c r="H42" s="75" t="s">
        <v>547</v>
      </c>
      <c r="I42" s="75" t="s">
        <v>7</v>
      </c>
      <c r="J42" s="75" t="s">
        <v>1110</v>
      </c>
      <c r="K42" s="75" t="s">
        <v>907</v>
      </c>
      <c r="L42" s="75" t="s">
        <v>907</v>
      </c>
      <c r="M42" s="75" t="s">
        <v>907</v>
      </c>
      <c r="N42" s="75" t="s">
        <v>1072</v>
      </c>
      <c r="O42" s="75" t="s">
        <v>907</v>
      </c>
      <c r="P42" s="75" t="s">
        <v>1111</v>
      </c>
      <c r="Q42" s="75" t="s">
        <v>979</v>
      </c>
      <c r="R42" s="75" t="s">
        <v>909</v>
      </c>
      <c r="S42" s="75" t="s">
        <v>909</v>
      </c>
      <c r="T42" s="75" t="s">
        <v>909</v>
      </c>
      <c r="U42" s="75" t="s">
        <v>909</v>
      </c>
      <c r="V42" s="75" t="s">
        <v>1112</v>
      </c>
      <c r="W42" s="75" t="s">
        <v>1113</v>
      </c>
      <c r="X42" s="75" t="s">
        <v>916</v>
      </c>
      <c r="Y42" s="75" t="s">
        <v>907</v>
      </c>
    </row>
    <row r="43" spans="1:26">
      <c r="A43" s="75" t="s">
        <v>905</v>
      </c>
      <c r="C43" s="75" t="s">
        <v>1013</v>
      </c>
      <c r="D43" s="75" t="s">
        <v>907</v>
      </c>
      <c r="E43" s="75" t="s">
        <v>1125</v>
      </c>
      <c r="F43" s="75" t="s">
        <v>909</v>
      </c>
      <c r="G43" s="75" t="s">
        <v>1126</v>
      </c>
      <c r="H43" s="75" t="s">
        <v>569</v>
      </c>
      <c r="I43" s="75" t="s">
        <v>7</v>
      </c>
      <c r="J43" s="75" t="s">
        <v>1110</v>
      </c>
      <c r="K43" s="75" t="s">
        <v>907</v>
      </c>
      <c r="L43" s="75" t="s">
        <v>907</v>
      </c>
      <c r="M43" s="75" t="s">
        <v>907</v>
      </c>
      <c r="N43" s="75" t="s">
        <v>1072</v>
      </c>
      <c r="O43" s="75" t="s">
        <v>907</v>
      </c>
      <c r="P43" s="75" t="s">
        <v>1111</v>
      </c>
      <c r="Q43" s="75" t="s">
        <v>979</v>
      </c>
      <c r="R43" s="75" t="s">
        <v>909</v>
      </c>
      <c r="S43" s="75" t="s">
        <v>909</v>
      </c>
      <c r="T43" s="75" t="s">
        <v>909</v>
      </c>
      <c r="U43" s="75" t="s">
        <v>909</v>
      </c>
      <c r="V43" s="75" t="s">
        <v>1112</v>
      </c>
      <c r="W43" s="75" t="s">
        <v>1113</v>
      </c>
      <c r="X43" s="75" t="s">
        <v>916</v>
      </c>
      <c r="Y43" s="75" t="s">
        <v>907</v>
      </c>
    </row>
    <row r="44" spans="1:26">
      <c r="A44" s="75" t="s">
        <v>905</v>
      </c>
      <c r="C44" s="75" t="s">
        <v>1013</v>
      </c>
      <c r="D44" s="75" t="s">
        <v>907</v>
      </c>
      <c r="E44" s="75" t="s">
        <v>1127</v>
      </c>
      <c r="F44" s="75" t="s">
        <v>909</v>
      </c>
      <c r="G44" s="75" t="s">
        <v>1128</v>
      </c>
      <c r="H44" s="75" t="s">
        <v>579</v>
      </c>
      <c r="I44" s="75" t="s">
        <v>7</v>
      </c>
      <c r="J44" s="75" t="s">
        <v>1110</v>
      </c>
      <c r="K44" s="75" t="s">
        <v>907</v>
      </c>
      <c r="L44" s="75" t="s">
        <v>907</v>
      </c>
      <c r="M44" s="75" t="s">
        <v>907</v>
      </c>
      <c r="N44" s="75" t="s">
        <v>1072</v>
      </c>
      <c r="O44" s="75" t="s">
        <v>907</v>
      </c>
      <c r="P44" s="75" t="s">
        <v>1111</v>
      </c>
      <c r="Q44" s="75" t="s">
        <v>979</v>
      </c>
      <c r="R44" s="75" t="s">
        <v>909</v>
      </c>
      <c r="S44" s="75" t="s">
        <v>909</v>
      </c>
      <c r="T44" s="75" t="s">
        <v>909</v>
      </c>
      <c r="U44" s="75" t="s">
        <v>909</v>
      </c>
      <c r="V44" s="75" t="s">
        <v>1112</v>
      </c>
      <c r="W44" s="75" t="s">
        <v>1113</v>
      </c>
      <c r="X44" s="75" t="s">
        <v>916</v>
      </c>
      <c r="Y44" s="75" t="s">
        <v>907</v>
      </c>
    </row>
    <row r="45" spans="1:26">
      <c r="A45" s="75" t="s">
        <v>905</v>
      </c>
      <c r="C45" s="75" t="s">
        <v>1013</v>
      </c>
      <c r="D45" s="75" t="s">
        <v>907</v>
      </c>
      <c r="E45" s="75" t="s">
        <v>1129</v>
      </c>
      <c r="F45" s="75" t="s">
        <v>909</v>
      </c>
      <c r="G45" s="75" t="s">
        <v>1130</v>
      </c>
      <c r="H45" s="75" t="s">
        <v>122</v>
      </c>
      <c r="I45" s="75" t="s">
        <v>7</v>
      </c>
      <c r="J45" s="75" t="s">
        <v>1110</v>
      </c>
      <c r="K45" s="75" t="s">
        <v>907</v>
      </c>
      <c r="L45" s="75" t="s">
        <v>907</v>
      </c>
      <c r="M45" s="75" t="s">
        <v>907</v>
      </c>
      <c r="N45" s="75" t="s">
        <v>1072</v>
      </c>
      <c r="O45" s="75" t="s">
        <v>907</v>
      </c>
      <c r="P45" s="75" t="s">
        <v>1111</v>
      </c>
      <c r="Q45" s="75" t="s">
        <v>979</v>
      </c>
      <c r="R45" s="75" t="s">
        <v>909</v>
      </c>
      <c r="S45" s="75" t="s">
        <v>909</v>
      </c>
      <c r="T45" s="75" t="s">
        <v>909</v>
      </c>
      <c r="U45" s="75" t="s">
        <v>909</v>
      </c>
      <c r="V45" s="75" t="s">
        <v>1112</v>
      </c>
      <c r="W45" s="75" t="s">
        <v>1113</v>
      </c>
      <c r="X45" s="75" t="s">
        <v>916</v>
      </c>
      <c r="Y45" s="75" t="s">
        <v>907</v>
      </c>
    </row>
    <row r="46" spans="1:26">
      <c r="A46" s="75" t="s">
        <v>905</v>
      </c>
      <c r="C46" s="75" t="s">
        <v>1013</v>
      </c>
      <c r="D46" s="75" t="s">
        <v>907</v>
      </c>
      <c r="E46" s="75" t="s">
        <v>1131</v>
      </c>
      <c r="F46" s="75" t="s">
        <v>909</v>
      </c>
      <c r="G46" s="75" t="s">
        <v>162</v>
      </c>
      <c r="H46" s="137" t="s">
        <v>163</v>
      </c>
      <c r="I46" s="75" t="s">
        <v>7</v>
      </c>
      <c r="J46" s="75" t="s">
        <v>1110</v>
      </c>
      <c r="K46" s="75" t="s">
        <v>907</v>
      </c>
      <c r="L46" s="75" t="s">
        <v>907</v>
      </c>
      <c r="M46" s="75" t="s">
        <v>907</v>
      </c>
      <c r="N46" s="75" t="s">
        <v>1072</v>
      </c>
      <c r="O46" s="75" t="s">
        <v>907</v>
      </c>
      <c r="P46" s="75" t="s">
        <v>1111</v>
      </c>
      <c r="Q46" s="75" t="s">
        <v>979</v>
      </c>
      <c r="R46" s="75" t="s">
        <v>909</v>
      </c>
      <c r="S46" s="75" t="s">
        <v>909</v>
      </c>
      <c r="T46" s="75" t="s">
        <v>909</v>
      </c>
      <c r="U46" s="75" t="s">
        <v>909</v>
      </c>
      <c r="V46" s="75" t="s">
        <v>1112</v>
      </c>
      <c r="W46" s="75" t="s">
        <v>1113</v>
      </c>
      <c r="X46" s="75" t="s">
        <v>916</v>
      </c>
      <c r="Y46" s="75" t="s">
        <v>907</v>
      </c>
      <c r="Z46" s="75" t="s">
        <v>1027</v>
      </c>
    </row>
    <row r="47" spans="1:26">
      <c r="A47" s="75" t="s">
        <v>905</v>
      </c>
      <c r="C47" s="75" t="s">
        <v>1013</v>
      </c>
      <c r="D47" s="75" t="s">
        <v>907</v>
      </c>
      <c r="E47" s="75" t="s">
        <v>1132</v>
      </c>
      <c r="F47" s="75" t="s">
        <v>909</v>
      </c>
      <c r="G47" s="75" t="s">
        <v>169</v>
      </c>
      <c r="H47" s="137" t="s">
        <v>170</v>
      </c>
      <c r="I47" s="75" t="s">
        <v>7</v>
      </c>
      <c r="J47" s="75" t="s">
        <v>1110</v>
      </c>
      <c r="K47" s="75" t="s">
        <v>907</v>
      </c>
      <c r="L47" s="75" t="s">
        <v>907</v>
      </c>
      <c r="M47" s="75" t="s">
        <v>907</v>
      </c>
      <c r="N47" s="75" t="s">
        <v>907</v>
      </c>
      <c r="O47" s="75" t="s">
        <v>907</v>
      </c>
      <c r="P47" s="75" t="s">
        <v>1133</v>
      </c>
      <c r="Q47" s="75" t="s">
        <v>979</v>
      </c>
      <c r="R47" s="75" t="s">
        <v>909</v>
      </c>
      <c r="S47" s="75" t="s">
        <v>909</v>
      </c>
      <c r="T47" s="75" t="s">
        <v>909</v>
      </c>
      <c r="U47" s="75" t="s">
        <v>909</v>
      </c>
      <c r="V47" s="75" t="s">
        <v>1112</v>
      </c>
      <c r="W47" s="75" t="s">
        <v>1113</v>
      </c>
      <c r="X47" s="75" t="s">
        <v>916</v>
      </c>
      <c r="Y47" s="75" t="s">
        <v>907</v>
      </c>
      <c r="Z47" s="75" t="s">
        <v>1027</v>
      </c>
    </row>
    <row r="48" spans="1:26">
      <c r="A48" s="75" t="s">
        <v>905</v>
      </c>
      <c r="C48" s="75" t="s">
        <v>1013</v>
      </c>
      <c r="D48" s="75" t="s">
        <v>907</v>
      </c>
      <c r="E48" s="75" t="s">
        <v>1134</v>
      </c>
      <c r="F48" s="75" t="s">
        <v>909</v>
      </c>
      <c r="G48" s="75" t="s">
        <v>1135</v>
      </c>
      <c r="H48" s="75" t="s">
        <v>99</v>
      </c>
      <c r="I48" s="75" t="s">
        <v>7</v>
      </c>
      <c r="J48" s="75" t="s">
        <v>1136</v>
      </c>
      <c r="K48" s="75" t="s">
        <v>907</v>
      </c>
      <c r="L48" s="75" t="s">
        <v>907</v>
      </c>
      <c r="M48" s="75" t="s">
        <v>907</v>
      </c>
      <c r="N48" s="75" t="s">
        <v>1072</v>
      </c>
      <c r="O48" s="75" t="s">
        <v>907</v>
      </c>
      <c r="P48" s="75" t="s">
        <v>1137</v>
      </c>
      <c r="Q48" s="75" t="s">
        <v>979</v>
      </c>
      <c r="R48" s="75" t="s">
        <v>909</v>
      </c>
      <c r="S48" s="75" t="s">
        <v>909</v>
      </c>
      <c r="T48" s="75" t="s">
        <v>909</v>
      </c>
      <c r="U48" s="75" t="s">
        <v>909</v>
      </c>
      <c r="V48" s="75" t="s">
        <v>1138</v>
      </c>
      <c r="W48" s="75" t="s">
        <v>1139</v>
      </c>
      <c r="X48" s="75" t="s">
        <v>916</v>
      </c>
      <c r="Y48" s="75" t="s">
        <v>907</v>
      </c>
    </row>
    <row r="49" spans="1:26">
      <c r="A49" s="75" t="s">
        <v>905</v>
      </c>
      <c r="C49" s="75" t="s">
        <v>1013</v>
      </c>
      <c r="D49" s="75" t="s">
        <v>907</v>
      </c>
      <c r="E49" s="75" t="s">
        <v>1140</v>
      </c>
      <c r="F49" s="75" t="s">
        <v>909</v>
      </c>
      <c r="G49" s="75" t="s">
        <v>1141</v>
      </c>
      <c r="H49" s="75" t="s">
        <v>1142</v>
      </c>
      <c r="I49" s="75" t="s">
        <v>7</v>
      </c>
      <c r="J49" s="75" t="s">
        <v>1143</v>
      </c>
      <c r="K49" s="75" t="s">
        <v>907</v>
      </c>
      <c r="L49" s="75" t="s">
        <v>907</v>
      </c>
      <c r="M49" s="75" t="s">
        <v>907</v>
      </c>
      <c r="N49" s="75" t="s">
        <v>1072</v>
      </c>
      <c r="O49" s="75" t="s">
        <v>907</v>
      </c>
      <c r="P49" s="75" t="s">
        <v>1144</v>
      </c>
      <c r="Q49" s="75" t="s">
        <v>979</v>
      </c>
      <c r="R49" s="75" t="s">
        <v>909</v>
      </c>
      <c r="S49" s="75" t="s">
        <v>909</v>
      </c>
      <c r="T49" s="75" t="s">
        <v>909</v>
      </c>
      <c r="U49" s="75" t="s">
        <v>909</v>
      </c>
      <c r="V49" s="75" t="s">
        <v>1106</v>
      </c>
      <c r="W49" s="75" t="s">
        <v>1107</v>
      </c>
      <c r="X49" s="75" t="s">
        <v>916</v>
      </c>
      <c r="Y49" s="75" t="s">
        <v>907</v>
      </c>
    </row>
    <row r="50" spans="1:26">
      <c r="A50" s="75" t="s">
        <v>905</v>
      </c>
      <c r="C50" s="75" t="s">
        <v>1013</v>
      </c>
      <c r="D50" s="75" t="s">
        <v>907</v>
      </c>
      <c r="E50" s="75" t="s">
        <v>1145</v>
      </c>
      <c r="F50" s="75" t="s">
        <v>909</v>
      </c>
      <c r="G50" s="75" t="s">
        <v>181</v>
      </c>
      <c r="H50" s="137" t="s">
        <v>182</v>
      </c>
      <c r="I50" s="75" t="s">
        <v>7</v>
      </c>
      <c r="J50" s="75" t="s">
        <v>1143</v>
      </c>
      <c r="K50" s="75" t="s">
        <v>907</v>
      </c>
      <c r="L50" s="75" t="s">
        <v>907</v>
      </c>
      <c r="M50" s="75" t="s">
        <v>907</v>
      </c>
      <c r="N50" s="75" t="s">
        <v>1072</v>
      </c>
      <c r="O50" s="75" t="s">
        <v>907</v>
      </c>
      <c r="P50" s="75" t="s">
        <v>1144</v>
      </c>
      <c r="Q50" s="75" t="s">
        <v>979</v>
      </c>
      <c r="R50" s="75" t="s">
        <v>909</v>
      </c>
      <c r="S50" s="75" t="s">
        <v>909</v>
      </c>
      <c r="T50" s="75" t="s">
        <v>909</v>
      </c>
      <c r="U50" s="75" t="s">
        <v>909</v>
      </c>
      <c r="V50" s="75" t="s">
        <v>1106</v>
      </c>
      <c r="W50" s="75" t="s">
        <v>1107</v>
      </c>
      <c r="X50" s="75" t="s">
        <v>916</v>
      </c>
      <c r="Y50" s="75" t="s">
        <v>907</v>
      </c>
      <c r="Z50" s="75" t="s">
        <v>1027</v>
      </c>
    </row>
    <row r="51" spans="1:26">
      <c r="A51" s="75" t="s">
        <v>905</v>
      </c>
      <c r="C51" s="75" t="s">
        <v>1013</v>
      </c>
      <c r="D51" s="75" t="s">
        <v>907</v>
      </c>
      <c r="E51" s="75" t="s">
        <v>1146</v>
      </c>
      <c r="F51" s="75" t="s">
        <v>909</v>
      </c>
      <c r="G51" s="75" t="s">
        <v>1147</v>
      </c>
      <c r="H51" s="75" t="s">
        <v>1148</v>
      </c>
      <c r="I51" s="75" t="s">
        <v>7</v>
      </c>
      <c r="J51" s="75" t="s">
        <v>1143</v>
      </c>
      <c r="K51" s="75" t="s">
        <v>907</v>
      </c>
      <c r="L51" s="75" t="s">
        <v>907</v>
      </c>
      <c r="M51" s="75" t="s">
        <v>907</v>
      </c>
      <c r="N51" s="75" t="s">
        <v>1072</v>
      </c>
      <c r="O51" s="75" t="s">
        <v>907</v>
      </c>
      <c r="P51" s="75" t="s">
        <v>1144</v>
      </c>
      <c r="Q51" s="75" t="s">
        <v>979</v>
      </c>
      <c r="R51" s="75" t="s">
        <v>909</v>
      </c>
      <c r="S51" s="75" t="s">
        <v>909</v>
      </c>
      <c r="T51" s="75" t="s">
        <v>909</v>
      </c>
      <c r="U51" s="75" t="s">
        <v>909</v>
      </c>
      <c r="V51" s="75" t="s">
        <v>1106</v>
      </c>
      <c r="W51" s="75" t="s">
        <v>1107</v>
      </c>
      <c r="X51" s="75" t="s">
        <v>916</v>
      </c>
      <c r="Y51" s="75" t="s">
        <v>907</v>
      </c>
    </row>
    <row r="52" spans="1:26">
      <c r="A52" s="75" t="s">
        <v>905</v>
      </c>
      <c r="C52" s="75" t="s">
        <v>1013</v>
      </c>
      <c r="D52" s="75" t="s">
        <v>907</v>
      </c>
      <c r="E52" s="75" t="s">
        <v>1149</v>
      </c>
      <c r="F52" s="75" t="s">
        <v>909</v>
      </c>
      <c r="G52" s="75" t="s">
        <v>464</v>
      </c>
      <c r="H52" s="75" t="s">
        <v>465</v>
      </c>
      <c r="I52" s="75" t="s">
        <v>7</v>
      </c>
      <c r="J52" s="75" t="s">
        <v>1143</v>
      </c>
      <c r="K52" s="75" t="s">
        <v>907</v>
      </c>
      <c r="L52" s="75" t="s">
        <v>907</v>
      </c>
      <c r="M52" s="75" t="s">
        <v>907</v>
      </c>
      <c r="N52" s="75" t="s">
        <v>1072</v>
      </c>
      <c r="O52" s="75" t="s">
        <v>907</v>
      </c>
      <c r="P52" s="75" t="s">
        <v>1144</v>
      </c>
      <c r="Q52" s="75" t="s">
        <v>979</v>
      </c>
      <c r="R52" s="75" t="s">
        <v>909</v>
      </c>
      <c r="S52" s="75" t="s">
        <v>909</v>
      </c>
      <c r="T52" s="75" t="s">
        <v>909</v>
      </c>
      <c r="U52" s="75" t="s">
        <v>909</v>
      </c>
      <c r="V52" s="75" t="s">
        <v>1106</v>
      </c>
      <c r="W52" s="75" t="s">
        <v>1107</v>
      </c>
      <c r="X52" s="75" t="s">
        <v>916</v>
      </c>
      <c r="Y52" s="75" t="s">
        <v>907</v>
      </c>
    </row>
    <row r="53" spans="1:26">
      <c r="A53" s="75" t="s">
        <v>905</v>
      </c>
      <c r="C53" s="75" t="s">
        <v>1013</v>
      </c>
      <c r="D53" s="75" t="s">
        <v>907</v>
      </c>
      <c r="E53" s="75" t="s">
        <v>1150</v>
      </c>
      <c r="F53" s="75" t="s">
        <v>909</v>
      </c>
      <c r="G53" s="75" t="s">
        <v>1151</v>
      </c>
      <c r="H53" s="75" t="s">
        <v>1152</v>
      </c>
      <c r="I53" s="75" t="s">
        <v>7</v>
      </c>
      <c r="J53" s="75" t="s">
        <v>1143</v>
      </c>
      <c r="K53" s="75" t="s">
        <v>907</v>
      </c>
      <c r="L53" s="75" t="s">
        <v>907</v>
      </c>
      <c r="M53" s="75" t="s">
        <v>907</v>
      </c>
      <c r="N53" s="75" t="s">
        <v>1072</v>
      </c>
      <c r="O53" s="75" t="s">
        <v>907</v>
      </c>
      <c r="P53" s="75" t="s">
        <v>1144</v>
      </c>
      <c r="Q53" s="75" t="s">
        <v>979</v>
      </c>
      <c r="R53" s="75" t="s">
        <v>909</v>
      </c>
      <c r="S53" s="75" t="s">
        <v>909</v>
      </c>
      <c r="T53" s="75" t="s">
        <v>909</v>
      </c>
      <c r="U53" s="75" t="s">
        <v>909</v>
      </c>
      <c r="V53" s="75" t="s">
        <v>1106</v>
      </c>
      <c r="W53" s="75" t="s">
        <v>1107</v>
      </c>
      <c r="X53" s="75" t="s">
        <v>916</v>
      </c>
      <c r="Y53" s="75" t="s">
        <v>907</v>
      </c>
    </row>
    <row r="54" spans="1:26">
      <c r="A54" s="75" t="s">
        <v>905</v>
      </c>
      <c r="C54" s="75" t="s">
        <v>1013</v>
      </c>
      <c r="D54" s="75" t="s">
        <v>907</v>
      </c>
      <c r="E54" s="75" t="s">
        <v>1153</v>
      </c>
      <c r="F54" s="75" t="s">
        <v>909</v>
      </c>
      <c r="G54" s="75" t="s">
        <v>1154</v>
      </c>
      <c r="H54" s="75" t="s">
        <v>1155</v>
      </c>
      <c r="I54" s="75" t="s">
        <v>7</v>
      </c>
      <c r="J54" s="75" t="s">
        <v>1143</v>
      </c>
      <c r="K54" s="75" t="s">
        <v>907</v>
      </c>
      <c r="L54" s="75" t="s">
        <v>907</v>
      </c>
      <c r="M54" s="75" t="s">
        <v>907</v>
      </c>
      <c r="N54" s="75" t="s">
        <v>1072</v>
      </c>
      <c r="O54" s="75" t="s">
        <v>907</v>
      </c>
      <c r="P54" s="75" t="s">
        <v>1144</v>
      </c>
      <c r="Q54" s="75" t="s">
        <v>979</v>
      </c>
      <c r="R54" s="75" t="s">
        <v>909</v>
      </c>
      <c r="S54" s="75" t="s">
        <v>909</v>
      </c>
      <c r="T54" s="75" t="s">
        <v>909</v>
      </c>
      <c r="U54" s="75" t="s">
        <v>909</v>
      </c>
      <c r="V54" s="75" t="s">
        <v>1106</v>
      </c>
      <c r="W54" s="75" t="s">
        <v>1107</v>
      </c>
      <c r="X54" s="75" t="s">
        <v>916</v>
      </c>
      <c r="Y54" s="75" t="s">
        <v>907</v>
      </c>
    </row>
    <row r="55" spans="1:26">
      <c r="A55" s="75" t="s">
        <v>905</v>
      </c>
      <c r="C55" s="75" t="s">
        <v>1013</v>
      </c>
      <c r="D55" s="75" t="s">
        <v>907</v>
      </c>
      <c r="E55" s="75" t="s">
        <v>1156</v>
      </c>
      <c r="F55" s="75" t="s">
        <v>909</v>
      </c>
      <c r="G55" s="75" t="s">
        <v>1157</v>
      </c>
      <c r="H55" s="75" t="s">
        <v>1158</v>
      </c>
      <c r="I55" s="75" t="s">
        <v>7</v>
      </c>
      <c r="J55" s="75" t="s">
        <v>1143</v>
      </c>
      <c r="K55" s="75" t="s">
        <v>907</v>
      </c>
      <c r="L55" s="75" t="s">
        <v>907</v>
      </c>
      <c r="M55" s="75" t="s">
        <v>907</v>
      </c>
      <c r="N55" s="75" t="s">
        <v>1072</v>
      </c>
      <c r="O55" s="75" t="s">
        <v>907</v>
      </c>
      <c r="P55" s="75" t="s">
        <v>1144</v>
      </c>
      <c r="Q55" s="75" t="s">
        <v>979</v>
      </c>
      <c r="R55" s="75" t="s">
        <v>909</v>
      </c>
      <c r="S55" s="75" t="s">
        <v>909</v>
      </c>
      <c r="T55" s="75" t="s">
        <v>909</v>
      </c>
      <c r="U55" s="75" t="s">
        <v>909</v>
      </c>
      <c r="V55" s="75" t="s">
        <v>1106</v>
      </c>
      <c r="W55" s="75" t="s">
        <v>1107</v>
      </c>
      <c r="X55" s="75" t="s">
        <v>916</v>
      </c>
      <c r="Y55" s="75" t="s">
        <v>907</v>
      </c>
    </row>
    <row r="56" spans="1:26">
      <c r="A56" s="75" t="s">
        <v>905</v>
      </c>
      <c r="C56" s="75" t="s">
        <v>1013</v>
      </c>
      <c r="D56" s="75" t="s">
        <v>907</v>
      </c>
      <c r="E56" s="75" t="s">
        <v>1159</v>
      </c>
      <c r="F56" s="75" t="s">
        <v>909</v>
      </c>
      <c r="G56" s="75" t="s">
        <v>214</v>
      </c>
      <c r="H56" s="137" t="s">
        <v>215</v>
      </c>
      <c r="I56" s="75" t="s">
        <v>7</v>
      </c>
      <c r="J56" s="75" t="s">
        <v>1143</v>
      </c>
      <c r="K56" s="75" t="s">
        <v>907</v>
      </c>
      <c r="L56" s="75" t="s">
        <v>907</v>
      </c>
      <c r="M56" s="75" t="s">
        <v>907</v>
      </c>
      <c r="N56" s="75" t="s">
        <v>1072</v>
      </c>
      <c r="O56" s="75" t="s">
        <v>907</v>
      </c>
      <c r="P56" s="75" t="s">
        <v>1144</v>
      </c>
      <c r="Q56" s="75" t="s">
        <v>979</v>
      </c>
      <c r="R56" s="75" t="s">
        <v>909</v>
      </c>
      <c r="S56" s="75" t="s">
        <v>909</v>
      </c>
      <c r="T56" s="75" t="s">
        <v>909</v>
      </c>
      <c r="U56" s="75" t="s">
        <v>909</v>
      </c>
      <c r="V56" s="75" t="s">
        <v>1106</v>
      </c>
      <c r="W56" s="75" t="s">
        <v>1107</v>
      </c>
      <c r="X56" s="75" t="s">
        <v>916</v>
      </c>
      <c r="Y56" s="75" t="s">
        <v>907</v>
      </c>
      <c r="Z56" s="75" t="s">
        <v>1027</v>
      </c>
    </row>
    <row r="57" spans="1:26">
      <c r="A57" s="75" t="s">
        <v>905</v>
      </c>
      <c r="C57" s="75" t="s">
        <v>1013</v>
      </c>
      <c r="D57" s="75" t="s">
        <v>907</v>
      </c>
      <c r="E57" s="75" t="s">
        <v>1160</v>
      </c>
      <c r="F57" s="75" t="s">
        <v>909</v>
      </c>
      <c r="G57" s="75" t="s">
        <v>1161</v>
      </c>
      <c r="H57" s="75" t="s">
        <v>536</v>
      </c>
      <c r="I57" s="75" t="s">
        <v>7</v>
      </c>
      <c r="J57" s="75" t="s">
        <v>1143</v>
      </c>
      <c r="K57" s="75" t="s">
        <v>907</v>
      </c>
      <c r="L57" s="75" t="s">
        <v>907</v>
      </c>
      <c r="M57" s="75" t="s">
        <v>907</v>
      </c>
      <c r="N57" s="75" t="s">
        <v>1072</v>
      </c>
      <c r="O57" s="75" t="s">
        <v>907</v>
      </c>
      <c r="P57" s="75" t="s">
        <v>1144</v>
      </c>
      <c r="Q57" s="75" t="s">
        <v>979</v>
      </c>
      <c r="R57" s="75" t="s">
        <v>909</v>
      </c>
      <c r="S57" s="75" t="s">
        <v>909</v>
      </c>
      <c r="T57" s="75" t="s">
        <v>909</v>
      </c>
      <c r="U57" s="75" t="s">
        <v>909</v>
      </c>
      <c r="V57" s="75" t="s">
        <v>1106</v>
      </c>
      <c r="W57" s="75" t="s">
        <v>1107</v>
      </c>
      <c r="X57" s="75" t="s">
        <v>916</v>
      </c>
      <c r="Y57" s="75" t="s">
        <v>907</v>
      </c>
    </row>
    <row r="58" spans="1:26">
      <c r="A58" s="75" t="s">
        <v>905</v>
      </c>
      <c r="C58" s="75" t="s">
        <v>1013</v>
      </c>
      <c r="D58" s="75" t="s">
        <v>907</v>
      </c>
      <c r="E58" s="75" t="s">
        <v>1162</v>
      </c>
      <c r="F58" s="75" t="s">
        <v>909</v>
      </c>
      <c r="G58" s="75" t="s">
        <v>208</v>
      </c>
      <c r="H58" s="137" t="s">
        <v>209</v>
      </c>
      <c r="I58" s="75" t="s">
        <v>7</v>
      </c>
      <c r="J58" s="75" t="s">
        <v>1143</v>
      </c>
      <c r="K58" s="75" t="s">
        <v>907</v>
      </c>
      <c r="L58" s="75" t="s">
        <v>907</v>
      </c>
      <c r="M58" s="75" t="s">
        <v>907</v>
      </c>
      <c r="N58" s="75" t="s">
        <v>1072</v>
      </c>
      <c r="O58" s="75" t="s">
        <v>907</v>
      </c>
      <c r="P58" s="75" t="s">
        <v>1144</v>
      </c>
      <c r="Q58" s="75" t="s">
        <v>979</v>
      </c>
      <c r="R58" s="75" t="s">
        <v>909</v>
      </c>
      <c r="S58" s="75" t="s">
        <v>909</v>
      </c>
      <c r="T58" s="75" t="s">
        <v>909</v>
      </c>
      <c r="U58" s="75" t="s">
        <v>909</v>
      </c>
      <c r="V58" s="75" t="s">
        <v>1106</v>
      </c>
      <c r="W58" s="75" t="s">
        <v>1107</v>
      </c>
      <c r="X58" s="75" t="s">
        <v>916</v>
      </c>
      <c r="Y58" s="75" t="s">
        <v>907</v>
      </c>
      <c r="Z58" s="75" t="s">
        <v>1027</v>
      </c>
    </row>
    <row r="59" spans="1:26">
      <c r="A59" s="75" t="s">
        <v>905</v>
      </c>
      <c r="C59" s="75" t="s">
        <v>1013</v>
      </c>
      <c r="D59" s="75" t="s">
        <v>907</v>
      </c>
      <c r="E59" s="75" t="s">
        <v>605</v>
      </c>
      <c r="F59" s="75" t="s">
        <v>909</v>
      </c>
      <c r="G59" s="75" t="s">
        <v>1163</v>
      </c>
      <c r="H59" s="75" t="s">
        <v>604</v>
      </c>
      <c r="I59" s="75" t="s">
        <v>7</v>
      </c>
      <c r="J59" s="75" t="s">
        <v>1164</v>
      </c>
      <c r="K59" s="75" t="s">
        <v>907</v>
      </c>
      <c r="L59" s="75" t="s">
        <v>907</v>
      </c>
      <c r="M59" s="75" t="s">
        <v>907</v>
      </c>
      <c r="N59" s="75" t="s">
        <v>907</v>
      </c>
      <c r="O59" s="75" t="s">
        <v>907</v>
      </c>
      <c r="P59" s="75" t="s">
        <v>1165</v>
      </c>
      <c r="Q59" s="75" t="s">
        <v>979</v>
      </c>
      <c r="R59" s="75" t="s">
        <v>909</v>
      </c>
      <c r="S59" s="75" t="s">
        <v>909</v>
      </c>
      <c r="T59" s="75" t="s">
        <v>909</v>
      </c>
      <c r="U59" s="75" t="s">
        <v>909</v>
      </c>
      <c r="V59" s="75" t="s">
        <v>1106</v>
      </c>
      <c r="W59" s="75" t="s">
        <v>1107</v>
      </c>
      <c r="X59" s="75" t="s">
        <v>916</v>
      </c>
      <c r="Y59" s="75" t="s">
        <v>907</v>
      </c>
    </row>
    <row r="60" spans="1:26">
      <c r="A60" s="75" t="s">
        <v>905</v>
      </c>
      <c r="C60" s="75" t="s">
        <v>1013</v>
      </c>
      <c r="D60" s="75" t="s">
        <v>907</v>
      </c>
      <c r="E60" s="75" t="s">
        <v>1166</v>
      </c>
      <c r="F60" s="75" t="s">
        <v>909</v>
      </c>
      <c r="G60" s="75" t="s">
        <v>1167</v>
      </c>
      <c r="H60" s="75" t="s">
        <v>142</v>
      </c>
      <c r="I60" s="75" t="s">
        <v>7</v>
      </c>
      <c r="J60" s="75" t="s">
        <v>1168</v>
      </c>
      <c r="K60" s="75" t="s">
        <v>907</v>
      </c>
      <c r="L60" s="75" t="s">
        <v>907</v>
      </c>
      <c r="M60" s="75" t="s">
        <v>907</v>
      </c>
      <c r="N60" s="75" t="s">
        <v>1072</v>
      </c>
      <c r="O60" s="75" t="s">
        <v>907</v>
      </c>
      <c r="P60" s="75" t="s">
        <v>1144</v>
      </c>
      <c r="Q60" s="75" t="s">
        <v>979</v>
      </c>
      <c r="R60" s="75" t="s">
        <v>909</v>
      </c>
      <c r="S60" s="75" t="s">
        <v>909</v>
      </c>
      <c r="T60" s="75" t="s">
        <v>909</v>
      </c>
      <c r="U60" s="75" t="s">
        <v>909</v>
      </c>
      <c r="V60" s="75" t="s">
        <v>1169</v>
      </c>
      <c r="W60" s="75" t="s">
        <v>1170</v>
      </c>
      <c r="X60" s="75" t="s">
        <v>916</v>
      </c>
      <c r="Y60" s="75" t="s">
        <v>907</v>
      </c>
    </row>
    <row r="61" spans="1:26">
      <c r="A61" s="75" t="s">
        <v>905</v>
      </c>
      <c r="C61" s="75" t="s">
        <v>1013</v>
      </c>
      <c r="D61" s="75" t="s">
        <v>907</v>
      </c>
      <c r="E61" s="75" t="s">
        <v>1171</v>
      </c>
      <c r="F61" s="75" t="s">
        <v>909</v>
      </c>
      <c r="G61" s="75" t="s">
        <v>715</v>
      </c>
      <c r="H61" s="75" t="s">
        <v>716</v>
      </c>
      <c r="I61" s="75" t="s">
        <v>7</v>
      </c>
      <c r="J61" s="75" t="s">
        <v>1168</v>
      </c>
      <c r="K61" s="75" t="s">
        <v>907</v>
      </c>
      <c r="L61" s="75" t="s">
        <v>907</v>
      </c>
      <c r="M61" s="75" t="s">
        <v>907</v>
      </c>
      <c r="N61" s="75" t="s">
        <v>1072</v>
      </c>
      <c r="O61" s="75" t="s">
        <v>907</v>
      </c>
      <c r="P61" s="75" t="s">
        <v>1144</v>
      </c>
      <c r="Q61" s="75" t="s">
        <v>979</v>
      </c>
      <c r="R61" s="75" t="s">
        <v>909</v>
      </c>
      <c r="S61" s="75" t="s">
        <v>909</v>
      </c>
      <c r="T61" s="75" t="s">
        <v>909</v>
      </c>
      <c r="U61" s="75" t="s">
        <v>909</v>
      </c>
      <c r="V61" s="75" t="s">
        <v>1169</v>
      </c>
      <c r="W61" s="75" t="s">
        <v>1170</v>
      </c>
      <c r="X61" s="75" t="s">
        <v>916</v>
      </c>
      <c r="Y61" s="75" t="s">
        <v>907</v>
      </c>
    </row>
    <row r="62" spans="1:26">
      <c r="A62" s="75" t="s">
        <v>905</v>
      </c>
      <c r="C62" s="75" t="s">
        <v>1013</v>
      </c>
      <c r="D62" s="75" t="s">
        <v>907</v>
      </c>
      <c r="E62" s="75" t="s">
        <v>1172</v>
      </c>
      <c r="F62" s="75" t="s">
        <v>909</v>
      </c>
      <c r="G62" s="75" t="s">
        <v>707</v>
      </c>
      <c r="H62" s="75" t="s">
        <v>708</v>
      </c>
      <c r="I62" s="75" t="s">
        <v>7</v>
      </c>
      <c r="J62" s="75" t="s">
        <v>1168</v>
      </c>
      <c r="K62" s="75" t="s">
        <v>907</v>
      </c>
      <c r="L62" s="75" t="s">
        <v>907</v>
      </c>
      <c r="M62" s="75" t="s">
        <v>907</v>
      </c>
      <c r="N62" s="75" t="s">
        <v>1072</v>
      </c>
      <c r="O62" s="75" t="s">
        <v>907</v>
      </c>
      <c r="P62" s="75" t="s">
        <v>1173</v>
      </c>
      <c r="Q62" s="75" t="s">
        <v>979</v>
      </c>
      <c r="R62" s="75" t="s">
        <v>909</v>
      </c>
      <c r="S62" s="75" t="s">
        <v>909</v>
      </c>
      <c r="T62" s="75" t="s">
        <v>909</v>
      </c>
      <c r="U62" s="75" t="s">
        <v>909</v>
      </c>
      <c r="V62" s="75" t="s">
        <v>1169</v>
      </c>
      <c r="W62" s="75" t="s">
        <v>1170</v>
      </c>
      <c r="X62" s="75" t="s">
        <v>916</v>
      </c>
      <c r="Y62" s="75" t="s">
        <v>907</v>
      </c>
    </row>
    <row r="63" spans="1:26">
      <c r="A63" s="75" t="s">
        <v>905</v>
      </c>
      <c r="C63" s="75" t="s">
        <v>1013</v>
      </c>
      <c r="D63" s="75" t="s">
        <v>907</v>
      </c>
      <c r="E63" s="75" t="s">
        <v>75</v>
      </c>
      <c r="F63" s="75" t="s">
        <v>909</v>
      </c>
      <c r="G63" s="75" t="s">
        <v>1174</v>
      </c>
      <c r="H63" s="75" t="s">
        <v>1175</v>
      </c>
      <c r="I63" s="75" t="s">
        <v>7</v>
      </c>
      <c r="J63" s="75" t="s">
        <v>1168</v>
      </c>
      <c r="K63" s="75" t="s">
        <v>907</v>
      </c>
      <c r="L63" s="75" t="s">
        <v>907</v>
      </c>
      <c r="M63" s="75" t="s">
        <v>907</v>
      </c>
      <c r="N63" s="75" t="s">
        <v>1072</v>
      </c>
      <c r="O63" s="75" t="s">
        <v>907</v>
      </c>
      <c r="P63" s="75" t="s">
        <v>1173</v>
      </c>
      <c r="Q63" s="75" t="s">
        <v>979</v>
      </c>
      <c r="R63" s="75" t="s">
        <v>909</v>
      </c>
      <c r="S63" s="75" t="s">
        <v>909</v>
      </c>
      <c r="T63" s="75" t="s">
        <v>909</v>
      </c>
      <c r="U63" s="75" t="s">
        <v>909</v>
      </c>
      <c r="V63" s="75" t="s">
        <v>1169</v>
      </c>
      <c r="W63" s="75" t="s">
        <v>1170</v>
      </c>
      <c r="X63" s="75" t="s">
        <v>916</v>
      </c>
      <c r="Y63" s="75" t="s">
        <v>907</v>
      </c>
    </row>
    <row r="64" spans="1:26">
      <c r="A64" s="75" t="s">
        <v>905</v>
      </c>
      <c r="C64" s="75" t="s">
        <v>1013</v>
      </c>
      <c r="D64" s="75" t="s">
        <v>907</v>
      </c>
      <c r="E64" s="75" t="s">
        <v>1176</v>
      </c>
      <c r="F64" s="75" t="s">
        <v>909</v>
      </c>
      <c r="G64" s="75" t="s">
        <v>1177</v>
      </c>
      <c r="H64" s="75" t="s">
        <v>1178</v>
      </c>
      <c r="I64" s="75" t="s">
        <v>7</v>
      </c>
      <c r="J64" s="75" t="s">
        <v>1168</v>
      </c>
      <c r="K64" s="75" t="s">
        <v>907</v>
      </c>
      <c r="L64" s="75" t="s">
        <v>907</v>
      </c>
      <c r="M64" s="75" t="s">
        <v>907</v>
      </c>
      <c r="N64" s="75" t="s">
        <v>1072</v>
      </c>
      <c r="O64" s="75" t="s">
        <v>907</v>
      </c>
      <c r="P64" s="75" t="s">
        <v>1173</v>
      </c>
      <c r="Q64" s="75" t="s">
        <v>979</v>
      </c>
      <c r="R64" s="75" t="s">
        <v>909</v>
      </c>
      <c r="S64" s="75" t="s">
        <v>909</v>
      </c>
      <c r="T64" s="75" t="s">
        <v>909</v>
      </c>
      <c r="U64" s="75" t="s">
        <v>909</v>
      </c>
      <c r="V64" s="75" t="s">
        <v>1169</v>
      </c>
      <c r="W64" s="75" t="s">
        <v>1170</v>
      </c>
      <c r="X64" s="75" t="s">
        <v>916</v>
      </c>
      <c r="Y64" s="75" t="s">
        <v>907</v>
      </c>
    </row>
    <row r="65" spans="1:25">
      <c r="A65" s="75" t="s">
        <v>905</v>
      </c>
      <c r="C65" s="75" t="s">
        <v>1013</v>
      </c>
      <c r="D65" s="75" t="s">
        <v>907</v>
      </c>
      <c r="E65" s="75" t="s">
        <v>1179</v>
      </c>
      <c r="F65" s="75" t="s">
        <v>909</v>
      </c>
      <c r="G65" s="75" t="s">
        <v>421</v>
      </c>
      <c r="H65" s="75" t="s">
        <v>422</v>
      </c>
      <c r="I65" s="75" t="s">
        <v>7</v>
      </c>
      <c r="J65" s="75" t="s">
        <v>1180</v>
      </c>
      <c r="K65" s="75" t="s">
        <v>1181</v>
      </c>
      <c r="L65" s="75" t="s">
        <v>907</v>
      </c>
      <c r="M65" s="75" t="s">
        <v>907</v>
      </c>
      <c r="N65" s="75" t="s">
        <v>1023</v>
      </c>
      <c r="O65" s="75" t="s">
        <v>1182</v>
      </c>
      <c r="P65" s="75" t="s">
        <v>1183</v>
      </c>
      <c r="Q65" s="75" t="s">
        <v>979</v>
      </c>
      <c r="R65" s="75" t="s">
        <v>909</v>
      </c>
      <c r="S65" s="75" t="s">
        <v>909</v>
      </c>
      <c r="T65" s="75" t="s">
        <v>909</v>
      </c>
      <c r="U65" s="75" t="s">
        <v>909</v>
      </c>
      <c r="V65" s="75" t="s">
        <v>1184</v>
      </c>
      <c r="W65" s="75" t="s">
        <v>1185</v>
      </c>
      <c r="X65" s="75" t="s">
        <v>916</v>
      </c>
      <c r="Y65" s="75" t="s">
        <v>907</v>
      </c>
    </row>
    <row r="66" spans="1:25">
      <c r="A66" s="75" t="s">
        <v>905</v>
      </c>
      <c r="C66" s="75" t="s">
        <v>1013</v>
      </c>
      <c r="D66" s="75" t="s">
        <v>907</v>
      </c>
      <c r="E66" s="75" t="s">
        <v>1186</v>
      </c>
      <c r="F66" s="75" t="s">
        <v>909</v>
      </c>
      <c r="G66" s="75" t="s">
        <v>742</v>
      </c>
      <c r="H66" s="75" t="s">
        <v>743</v>
      </c>
      <c r="I66" s="75" t="s">
        <v>7</v>
      </c>
      <c r="J66" s="75" t="s">
        <v>1180</v>
      </c>
      <c r="K66" s="75" t="s">
        <v>11</v>
      </c>
      <c r="L66" s="75" t="s">
        <v>907</v>
      </c>
      <c r="M66" s="75" t="s">
        <v>907</v>
      </c>
      <c r="N66" s="75" t="s">
        <v>1023</v>
      </c>
      <c r="O66" s="75" t="s">
        <v>1182</v>
      </c>
      <c r="P66" s="75" t="s">
        <v>1183</v>
      </c>
      <c r="Q66" s="75" t="s">
        <v>979</v>
      </c>
      <c r="R66" s="75" t="s">
        <v>909</v>
      </c>
      <c r="S66" s="75" t="s">
        <v>909</v>
      </c>
      <c r="T66" s="75" t="s">
        <v>909</v>
      </c>
      <c r="U66" s="75" t="s">
        <v>909</v>
      </c>
      <c r="V66" s="75" t="s">
        <v>1184</v>
      </c>
      <c r="W66" s="75" t="s">
        <v>1185</v>
      </c>
      <c r="X66" s="75" t="s">
        <v>916</v>
      </c>
      <c r="Y66" s="75" t="s">
        <v>907</v>
      </c>
    </row>
    <row r="67" spans="1:25">
      <c r="A67" s="75" t="s">
        <v>905</v>
      </c>
      <c r="C67" s="75" t="s">
        <v>1013</v>
      </c>
      <c r="D67" s="75" t="s">
        <v>907</v>
      </c>
      <c r="E67" s="75" t="s">
        <v>1187</v>
      </c>
      <c r="F67" s="75" t="s">
        <v>909</v>
      </c>
      <c r="G67" s="75" t="s">
        <v>734</v>
      </c>
      <c r="H67" s="75" t="s">
        <v>735</v>
      </c>
      <c r="I67" s="75" t="s">
        <v>7</v>
      </c>
      <c r="J67" s="75" t="s">
        <v>1180</v>
      </c>
      <c r="K67" s="75" t="s">
        <v>11</v>
      </c>
      <c r="L67" s="75" t="s">
        <v>907</v>
      </c>
      <c r="M67" s="75" t="s">
        <v>907</v>
      </c>
      <c r="N67" s="75" t="s">
        <v>1023</v>
      </c>
      <c r="O67" s="75" t="s">
        <v>1182</v>
      </c>
      <c r="P67" s="75" t="s">
        <v>1183</v>
      </c>
      <c r="Q67" s="75" t="s">
        <v>979</v>
      </c>
      <c r="R67" s="75" t="s">
        <v>909</v>
      </c>
      <c r="S67" s="75" t="s">
        <v>909</v>
      </c>
      <c r="T67" s="75" t="s">
        <v>909</v>
      </c>
      <c r="U67" s="75" t="s">
        <v>909</v>
      </c>
      <c r="V67" s="75" t="s">
        <v>1184</v>
      </c>
      <c r="W67" s="75" t="s">
        <v>1185</v>
      </c>
      <c r="X67" s="75" t="s">
        <v>916</v>
      </c>
      <c r="Y67" s="75" t="s">
        <v>907</v>
      </c>
    </row>
    <row r="68" spans="1:25">
      <c r="A68" s="75" t="s">
        <v>905</v>
      </c>
      <c r="C68" s="75" t="s">
        <v>1013</v>
      </c>
      <c r="D68" s="75" t="s">
        <v>907</v>
      </c>
      <c r="E68" s="75" t="s">
        <v>1188</v>
      </c>
      <c r="F68" s="75" t="s">
        <v>909</v>
      </c>
      <c r="G68" s="75" t="s">
        <v>490</v>
      </c>
      <c r="H68" s="75" t="s">
        <v>491</v>
      </c>
      <c r="I68" s="75" t="s">
        <v>7</v>
      </c>
      <c r="J68" s="75" t="s">
        <v>1189</v>
      </c>
      <c r="K68" s="75" t="s">
        <v>907</v>
      </c>
      <c r="L68" s="75" t="s">
        <v>907</v>
      </c>
      <c r="M68" s="75" t="s">
        <v>907</v>
      </c>
      <c r="N68" s="75" t="s">
        <v>1062</v>
      </c>
      <c r="O68" s="75" t="s">
        <v>1190</v>
      </c>
      <c r="P68" s="75" t="s">
        <v>1191</v>
      </c>
      <c r="Q68" s="75" t="s">
        <v>979</v>
      </c>
      <c r="R68" s="75" t="s">
        <v>909</v>
      </c>
      <c r="S68" s="75" t="s">
        <v>909</v>
      </c>
      <c r="T68" s="75" t="s">
        <v>909</v>
      </c>
      <c r="U68" s="75" t="s">
        <v>909</v>
      </c>
      <c r="V68" s="75" t="s">
        <v>1192</v>
      </c>
      <c r="W68" s="75" t="s">
        <v>1193</v>
      </c>
      <c r="X68" s="75" t="s">
        <v>916</v>
      </c>
      <c r="Y68" s="75" t="s">
        <v>907</v>
      </c>
    </row>
    <row r="69" spans="1:25">
      <c r="A69" s="75" t="s">
        <v>905</v>
      </c>
      <c r="C69" s="75" t="s">
        <v>1013</v>
      </c>
      <c r="D69" s="75" t="s">
        <v>907</v>
      </c>
      <c r="E69" s="75" t="s">
        <v>1194</v>
      </c>
      <c r="F69" s="75" t="s">
        <v>909</v>
      </c>
      <c r="G69" s="75" t="s">
        <v>428</v>
      </c>
      <c r="H69" s="75" t="s">
        <v>429</v>
      </c>
      <c r="I69" s="75" t="s">
        <v>7</v>
      </c>
      <c r="J69" s="75" t="s">
        <v>1195</v>
      </c>
      <c r="K69" s="75" t="s">
        <v>907</v>
      </c>
      <c r="L69" s="75" t="s">
        <v>907</v>
      </c>
      <c r="M69" s="75" t="s">
        <v>907</v>
      </c>
      <c r="N69" s="75" t="s">
        <v>907</v>
      </c>
      <c r="O69" s="75" t="s">
        <v>1196</v>
      </c>
      <c r="P69" s="75" t="s">
        <v>1197</v>
      </c>
      <c r="Q69" s="75" t="s">
        <v>979</v>
      </c>
      <c r="R69" s="75" t="s">
        <v>909</v>
      </c>
      <c r="S69" s="75" t="s">
        <v>909</v>
      </c>
      <c r="T69" s="75" t="s">
        <v>909</v>
      </c>
      <c r="U69" s="75" t="s">
        <v>909</v>
      </c>
      <c r="V69" s="75" t="s">
        <v>1192</v>
      </c>
      <c r="W69" s="75" t="s">
        <v>1198</v>
      </c>
      <c r="X69" s="75" t="s">
        <v>1199</v>
      </c>
      <c r="Y69" s="75" t="s">
        <v>907</v>
      </c>
    </row>
    <row r="70" spans="1:25">
      <c r="A70" s="75" t="s">
        <v>905</v>
      </c>
      <c r="C70" s="75" t="s">
        <v>1013</v>
      </c>
      <c r="D70" s="75" t="s">
        <v>907</v>
      </c>
      <c r="E70" s="75" t="s">
        <v>1200</v>
      </c>
      <c r="F70" s="75" t="s">
        <v>909</v>
      </c>
      <c r="G70" s="75" t="s">
        <v>405</v>
      </c>
      <c r="H70" s="75" t="s">
        <v>406</v>
      </c>
      <c r="I70" s="75" t="s">
        <v>7</v>
      </c>
      <c r="J70" s="75" t="s">
        <v>1201</v>
      </c>
      <c r="K70" s="75" t="s">
        <v>1181</v>
      </c>
      <c r="L70" s="75" t="s">
        <v>907</v>
      </c>
      <c r="M70" s="75" t="s">
        <v>907</v>
      </c>
      <c r="N70" s="75" t="s">
        <v>1062</v>
      </c>
      <c r="O70" s="75" t="s">
        <v>1202</v>
      </c>
      <c r="P70" s="75" t="s">
        <v>1203</v>
      </c>
      <c r="Q70" s="75" t="s">
        <v>979</v>
      </c>
      <c r="R70" s="75" t="s">
        <v>909</v>
      </c>
      <c r="S70" s="75" t="s">
        <v>1204</v>
      </c>
      <c r="T70" s="75" t="s">
        <v>1204</v>
      </c>
      <c r="U70" s="75" t="s">
        <v>909</v>
      </c>
      <c r="V70" s="75" t="s">
        <v>1205</v>
      </c>
      <c r="W70" s="75" t="s">
        <v>1206</v>
      </c>
      <c r="X70" s="75" t="s">
        <v>1207</v>
      </c>
      <c r="Y70" s="75" t="s">
        <v>907</v>
      </c>
    </row>
    <row r="71" spans="1:25">
      <c r="A71" s="75" t="s">
        <v>905</v>
      </c>
      <c r="C71" s="75" t="s">
        <v>1013</v>
      </c>
      <c r="D71" s="75" t="s">
        <v>907</v>
      </c>
      <c r="E71" s="75" t="s">
        <v>1208</v>
      </c>
      <c r="F71" s="75" t="s">
        <v>909</v>
      </c>
      <c r="G71" s="75" t="s">
        <v>413</v>
      </c>
      <c r="H71" s="75" t="s">
        <v>414</v>
      </c>
      <c r="I71" s="75" t="s">
        <v>7</v>
      </c>
      <c r="J71" s="75" t="s">
        <v>1201</v>
      </c>
      <c r="K71" s="75" t="s">
        <v>1181</v>
      </c>
      <c r="L71" s="75" t="s">
        <v>907</v>
      </c>
      <c r="M71" s="75" t="s">
        <v>907</v>
      </c>
      <c r="N71" s="75" t="s">
        <v>1062</v>
      </c>
      <c r="O71" s="75" t="s">
        <v>1202</v>
      </c>
      <c r="P71" s="75" t="s">
        <v>1203</v>
      </c>
      <c r="Q71" s="75" t="s">
        <v>979</v>
      </c>
      <c r="R71" s="75" t="s">
        <v>909</v>
      </c>
      <c r="S71" s="75" t="s">
        <v>1204</v>
      </c>
      <c r="T71" s="75" t="s">
        <v>1204</v>
      </c>
      <c r="U71" s="75" t="s">
        <v>909</v>
      </c>
      <c r="V71" s="75" t="s">
        <v>1205</v>
      </c>
      <c r="W71" s="75" t="s">
        <v>1206</v>
      </c>
      <c r="X71" s="75" t="s">
        <v>1207</v>
      </c>
      <c r="Y71" s="75" t="s">
        <v>907</v>
      </c>
    </row>
    <row r="72" spans="1:25">
      <c r="A72" s="75" t="s">
        <v>905</v>
      </c>
      <c r="C72" s="75" t="s">
        <v>1013</v>
      </c>
      <c r="D72" s="75" t="s">
        <v>907</v>
      </c>
      <c r="E72" s="75" t="s">
        <v>1209</v>
      </c>
      <c r="F72" s="75" t="s">
        <v>909</v>
      </c>
      <c r="G72" s="75" t="s">
        <v>907</v>
      </c>
      <c r="H72" s="75" t="s">
        <v>620</v>
      </c>
      <c r="I72" s="75" t="s">
        <v>7</v>
      </c>
      <c r="J72" s="75" t="s">
        <v>1201</v>
      </c>
      <c r="K72" s="75" t="s">
        <v>14</v>
      </c>
      <c r="L72" s="75" t="s">
        <v>907</v>
      </c>
      <c r="M72" s="75" t="s">
        <v>907</v>
      </c>
      <c r="N72" s="75" t="s">
        <v>1062</v>
      </c>
      <c r="O72" s="75" t="s">
        <v>1202</v>
      </c>
      <c r="P72" s="75" t="s">
        <v>1203</v>
      </c>
      <c r="Q72" s="75" t="s">
        <v>979</v>
      </c>
      <c r="R72" s="75" t="s">
        <v>909</v>
      </c>
      <c r="S72" s="75" t="s">
        <v>1204</v>
      </c>
      <c r="T72" s="75" t="s">
        <v>1204</v>
      </c>
      <c r="U72" s="75" t="s">
        <v>909</v>
      </c>
      <c r="V72" s="75" t="s">
        <v>1205</v>
      </c>
      <c r="W72" s="75" t="s">
        <v>1206</v>
      </c>
      <c r="X72" s="75" t="s">
        <v>1207</v>
      </c>
      <c r="Y72" s="75" t="s">
        <v>907</v>
      </c>
    </row>
    <row r="73" spans="1:25">
      <c r="A73" s="75" t="s">
        <v>905</v>
      </c>
      <c r="C73" s="75" t="s">
        <v>1013</v>
      </c>
      <c r="D73" s="75" t="s">
        <v>907</v>
      </c>
      <c r="E73" s="75" t="s">
        <v>1210</v>
      </c>
      <c r="F73" s="75" t="s">
        <v>909</v>
      </c>
      <c r="G73" s="75" t="s">
        <v>907</v>
      </c>
      <c r="H73" s="75" t="s">
        <v>151</v>
      </c>
      <c r="I73" s="75" t="s">
        <v>7</v>
      </c>
      <c r="J73" s="75" t="s">
        <v>1201</v>
      </c>
      <c r="K73" s="75" t="s">
        <v>1211</v>
      </c>
      <c r="L73" s="75" t="s">
        <v>907</v>
      </c>
      <c r="M73" s="75" t="s">
        <v>907</v>
      </c>
      <c r="N73" s="75" t="s">
        <v>1062</v>
      </c>
      <c r="O73" s="75" t="s">
        <v>1202</v>
      </c>
      <c r="P73" s="75" t="s">
        <v>1203</v>
      </c>
      <c r="Q73" s="75" t="s">
        <v>979</v>
      </c>
      <c r="R73" s="75" t="s">
        <v>909</v>
      </c>
      <c r="S73" s="75" t="s">
        <v>1204</v>
      </c>
      <c r="T73" s="75" t="s">
        <v>1204</v>
      </c>
      <c r="U73" s="75" t="s">
        <v>909</v>
      </c>
      <c r="V73" s="75" t="s">
        <v>1212</v>
      </c>
      <c r="W73" s="75" t="s">
        <v>1213</v>
      </c>
      <c r="X73" s="75" t="s">
        <v>1214</v>
      </c>
      <c r="Y73" s="75" t="s">
        <v>907</v>
      </c>
    </row>
    <row r="74" spans="1:25">
      <c r="A74" s="75" t="s">
        <v>905</v>
      </c>
      <c r="C74" s="75" t="s">
        <v>1013</v>
      </c>
      <c r="D74" s="75" t="s">
        <v>907</v>
      </c>
      <c r="E74" s="75" t="s">
        <v>1215</v>
      </c>
      <c r="F74" s="75" t="s">
        <v>909</v>
      </c>
      <c r="G74" s="75" t="s">
        <v>471</v>
      </c>
      <c r="H74" s="75" t="s">
        <v>472</v>
      </c>
      <c r="I74" s="75" t="s">
        <v>7</v>
      </c>
      <c r="J74" s="75" t="s">
        <v>1201</v>
      </c>
      <c r="K74" s="75" t="s">
        <v>1181</v>
      </c>
      <c r="L74" s="75" t="s">
        <v>907</v>
      </c>
      <c r="M74" s="75" t="s">
        <v>907</v>
      </c>
      <c r="N74" s="75" t="s">
        <v>1062</v>
      </c>
      <c r="O74" s="75" t="s">
        <v>1202</v>
      </c>
      <c r="P74" s="75" t="s">
        <v>1203</v>
      </c>
      <c r="Q74" s="75" t="s">
        <v>979</v>
      </c>
      <c r="R74" s="75" t="s">
        <v>909</v>
      </c>
      <c r="S74" s="75" t="s">
        <v>1204</v>
      </c>
      <c r="T74" s="75" t="s">
        <v>1204</v>
      </c>
      <c r="U74" s="75" t="s">
        <v>909</v>
      </c>
      <c r="V74" s="75" t="s">
        <v>1205</v>
      </c>
      <c r="W74" s="75" t="s">
        <v>1206</v>
      </c>
      <c r="X74" s="75" t="s">
        <v>1207</v>
      </c>
      <c r="Y74" s="75" t="s">
        <v>907</v>
      </c>
    </row>
    <row r="75" spans="1:25">
      <c r="A75" s="75" t="s">
        <v>905</v>
      </c>
      <c r="C75" s="75" t="s">
        <v>1013</v>
      </c>
      <c r="D75" s="75" t="s">
        <v>907</v>
      </c>
      <c r="E75" s="75" t="s">
        <v>1216</v>
      </c>
      <c r="F75" s="75" t="s">
        <v>909</v>
      </c>
      <c r="G75" s="75" t="s">
        <v>389</v>
      </c>
      <c r="H75" s="75" t="s">
        <v>390</v>
      </c>
      <c r="I75" s="75" t="s">
        <v>7</v>
      </c>
      <c r="J75" s="75" t="s">
        <v>1201</v>
      </c>
      <c r="K75" s="75" t="s">
        <v>1181</v>
      </c>
      <c r="L75" s="75" t="s">
        <v>907</v>
      </c>
      <c r="M75" s="75" t="s">
        <v>907</v>
      </c>
      <c r="N75" s="75" t="s">
        <v>1062</v>
      </c>
      <c r="O75" s="75" t="s">
        <v>1202</v>
      </c>
      <c r="P75" s="75" t="s">
        <v>1203</v>
      </c>
      <c r="Q75" s="75" t="s">
        <v>979</v>
      </c>
      <c r="R75" s="75" t="s">
        <v>909</v>
      </c>
      <c r="S75" s="75" t="s">
        <v>1204</v>
      </c>
      <c r="T75" s="75" t="s">
        <v>1204</v>
      </c>
      <c r="U75" s="75" t="s">
        <v>909</v>
      </c>
      <c r="V75" s="75" t="s">
        <v>1205</v>
      </c>
      <c r="W75" s="75" t="s">
        <v>1206</v>
      </c>
      <c r="X75" s="75" t="s">
        <v>1207</v>
      </c>
      <c r="Y75" s="75" t="s">
        <v>907</v>
      </c>
    </row>
    <row r="76" spans="1:25">
      <c r="A76" s="75" t="s">
        <v>905</v>
      </c>
      <c r="C76" s="75" t="s">
        <v>1013</v>
      </c>
      <c r="D76" s="75" t="s">
        <v>907</v>
      </c>
      <c r="E76" s="75" t="s">
        <v>1217</v>
      </c>
      <c r="F76" s="75" t="s">
        <v>909</v>
      </c>
      <c r="G76" s="75" t="s">
        <v>907</v>
      </c>
      <c r="H76" s="75" t="s">
        <v>616</v>
      </c>
      <c r="I76" s="75" t="s">
        <v>7</v>
      </c>
      <c r="J76" s="75" t="s">
        <v>1201</v>
      </c>
      <c r="K76" s="75" t="s">
        <v>13</v>
      </c>
      <c r="L76" s="75" t="s">
        <v>907</v>
      </c>
      <c r="M76" s="75" t="s">
        <v>907</v>
      </c>
      <c r="N76" s="75" t="s">
        <v>1062</v>
      </c>
      <c r="O76" s="75" t="s">
        <v>1202</v>
      </c>
      <c r="P76" s="75" t="s">
        <v>1203</v>
      </c>
      <c r="Q76" s="75" t="s">
        <v>979</v>
      </c>
      <c r="R76" s="75" t="s">
        <v>909</v>
      </c>
      <c r="S76" s="75" t="s">
        <v>1204</v>
      </c>
      <c r="T76" s="75" t="s">
        <v>1204</v>
      </c>
      <c r="U76" s="75" t="s">
        <v>909</v>
      </c>
      <c r="V76" s="75" t="s">
        <v>1205</v>
      </c>
      <c r="W76" s="75" t="s">
        <v>1206</v>
      </c>
      <c r="X76" s="75" t="s">
        <v>1207</v>
      </c>
      <c r="Y76" s="75" t="s">
        <v>907</v>
      </c>
    </row>
    <row r="77" spans="1:25">
      <c r="A77" s="75" t="s">
        <v>905</v>
      </c>
      <c r="C77" s="75" t="s">
        <v>1013</v>
      </c>
      <c r="D77" s="75" t="s">
        <v>907</v>
      </c>
      <c r="E77" s="75" t="s">
        <v>1218</v>
      </c>
      <c r="F77" s="75" t="s">
        <v>909</v>
      </c>
      <c r="G77" s="75" t="s">
        <v>484</v>
      </c>
      <c r="H77" s="75" t="s">
        <v>485</v>
      </c>
      <c r="I77" s="75" t="s">
        <v>7</v>
      </c>
      <c r="J77" s="75" t="s">
        <v>1201</v>
      </c>
      <c r="K77" s="75" t="s">
        <v>1181</v>
      </c>
      <c r="L77" s="75" t="s">
        <v>907</v>
      </c>
      <c r="M77" s="75" t="s">
        <v>907</v>
      </c>
      <c r="N77" s="75" t="s">
        <v>1062</v>
      </c>
      <c r="O77" s="75" t="s">
        <v>1202</v>
      </c>
      <c r="P77" s="75" t="s">
        <v>1203</v>
      </c>
      <c r="Q77" s="75" t="s">
        <v>979</v>
      </c>
      <c r="R77" s="75" t="s">
        <v>909</v>
      </c>
      <c r="S77" s="75" t="s">
        <v>1204</v>
      </c>
      <c r="T77" s="75" t="s">
        <v>1204</v>
      </c>
      <c r="U77" s="75" t="s">
        <v>909</v>
      </c>
      <c r="V77" s="75" t="s">
        <v>1205</v>
      </c>
      <c r="W77" s="75" t="s">
        <v>1206</v>
      </c>
      <c r="X77" s="75" t="s">
        <v>1207</v>
      </c>
      <c r="Y77" s="75" t="s">
        <v>907</v>
      </c>
    </row>
    <row r="78" spans="1:25">
      <c r="A78" s="75" t="s">
        <v>905</v>
      </c>
      <c r="C78" s="75" t="s">
        <v>1013</v>
      </c>
      <c r="D78" s="75" t="s">
        <v>907</v>
      </c>
      <c r="E78" s="75" t="s">
        <v>1219</v>
      </c>
      <c r="F78" s="75" t="s">
        <v>909</v>
      </c>
      <c r="G78" s="75" t="s">
        <v>478</v>
      </c>
      <c r="H78" s="75" t="s">
        <v>1220</v>
      </c>
      <c r="I78" s="75" t="s">
        <v>7</v>
      </c>
      <c r="J78" s="75" t="s">
        <v>1201</v>
      </c>
      <c r="K78" s="75" t="s">
        <v>1181</v>
      </c>
      <c r="L78" s="75" t="s">
        <v>907</v>
      </c>
      <c r="M78" s="75" t="s">
        <v>907</v>
      </c>
      <c r="N78" s="75" t="s">
        <v>1062</v>
      </c>
      <c r="O78" s="75" t="s">
        <v>1202</v>
      </c>
      <c r="P78" s="75" t="s">
        <v>1203</v>
      </c>
      <c r="Q78" s="75" t="s">
        <v>979</v>
      </c>
      <c r="R78" s="75" t="s">
        <v>909</v>
      </c>
      <c r="S78" s="75" t="s">
        <v>1204</v>
      </c>
      <c r="T78" s="75" t="s">
        <v>1204</v>
      </c>
      <c r="U78" s="75" t="s">
        <v>909</v>
      </c>
      <c r="V78" s="75" t="s">
        <v>1205</v>
      </c>
      <c r="W78" s="75" t="s">
        <v>1206</v>
      </c>
      <c r="X78" s="75" t="s">
        <v>1207</v>
      </c>
      <c r="Y78" s="75" t="s">
        <v>907</v>
      </c>
    </row>
    <row r="79" spans="1:25">
      <c r="A79" s="75" t="s">
        <v>905</v>
      </c>
      <c r="C79" s="75" t="s">
        <v>1013</v>
      </c>
      <c r="D79" s="75" t="s">
        <v>907</v>
      </c>
      <c r="E79" s="75" t="s">
        <v>1221</v>
      </c>
      <c r="F79" s="75" t="s">
        <v>909</v>
      </c>
      <c r="G79" s="75" t="s">
        <v>700</v>
      </c>
      <c r="H79" s="75" t="s">
        <v>701</v>
      </c>
      <c r="I79" s="75" t="s">
        <v>7</v>
      </c>
      <c r="J79" s="75" t="s">
        <v>1222</v>
      </c>
      <c r="K79" s="75" t="s">
        <v>907</v>
      </c>
      <c r="L79" s="75" t="s">
        <v>907</v>
      </c>
      <c r="M79" s="75" t="s">
        <v>907</v>
      </c>
      <c r="N79" s="75" t="s">
        <v>1062</v>
      </c>
      <c r="O79" s="75" t="s">
        <v>1223</v>
      </c>
      <c r="P79" s="75" t="s">
        <v>1224</v>
      </c>
      <c r="Q79" s="75" t="s">
        <v>979</v>
      </c>
      <c r="R79" s="75" t="s">
        <v>909</v>
      </c>
      <c r="S79" s="75" t="s">
        <v>1204</v>
      </c>
      <c r="T79" s="75" t="s">
        <v>922</v>
      </c>
      <c r="U79" s="75" t="s">
        <v>909</v>
      </c>
      <c r="V79" s="75" t="s">
        <v>1225</v>
      </c>
      <c r="W79" s="75" t="s">
        <v>1226</v>
      </c>
      <c r="X79" s="75" t="s">
        <v>1227</v>
      </c>
      <c r="Y79" s="75" t="s">
        <v>907</v>
      </c>
    </row>
    <row r="80" spans="1:25">
      <c r="A80" s="75" t="s">
        <v>905</v>
      </c>
      <c r="C80" s="75" t="s">
        <v>1013</v>
      </c>
      <c r="D80" s="75" t="s">
        <v>907</v>
      </c>
      <c r="E80" s="75" t="s">
        <v>1228</v>
      </c>
      <c r="F80" s="75" t="s">
        <v>909</v>
      </c>
      <c r="G80" s="75" t="s">
        <v>380</v>
      </c>
      <c r="H80" s="75" t="s">
        <v>381</v>
      </c>
      <c r="I80" s="75" t="s">
        <v>7</v>
      </c>
      <c r="J80" s="75" t="s">
        <v>1229</v>
      </c>
      <c r="K80" s="75" t="s">
        <v>907</v>
      </c>
      <c r="L80" s="75" t="s">
        <v>907</v>
      </c>
      <c r="M80" s="75" t="s">
        <v>907</v>
      </c>
      <c r="N80" s="75" t="s">
        <v>907</v>
      </c>
      <c r="O80" s="75" t="s">
        <v>1223</v>
      </c>
      <c r="P80" s="75" t="s">
        <v>1230</v>
      </c>
      <c r="Q80" s="75" t="s">
        <v>979</v>
      </c>
      <c r="R80" s="75" t="s">
        <v>909</v>
      </c>
      <c r="S80" s="75" t="s">
        <v>1204</v>
      </c>
      <c r="T80" s="75" t="s">
        <v>922</v>
      </c>
      <c r="U80" s="75" t="s">
        <v>909</v>
      </c>
      <c r="V80" s="75" t="s">
        <v>1192</v>
      </c>
      <c r="W80" s="75" t="s">
        <v>1231</v>
      </c>
      <c r="X80" s="75" t="s">
        <v>1232</v>
      </c>
      <c r="Y80" s="75" t="s">
        <v>907</v>
      </c>
    </row>
    <row r="81" spans="1:25">
      <c r="A81" s="75" t="s">
        <v>905</v>
      </c>
      <c r="C81" s="75" t="s">
        <v>1013</v>
      </c>
      <c r="D81" s="75" t="s">
        <v>907</v>
      </c>
      <c r="E81" s="75" t="s">
        <v>1233</v>
      </c>
      <c r="F81" s="75" t="s">
        <v>909</v>
      </c>
      <c r="G81" s="75" t="s">
        <v>450</v>
      </c>
      <c r="H81" s="75" t="s">
        <v>451</v>
      </c>
      <c r="I81" s="75" t="s">
        <v>7</v>
      </c>
      <c r="J81" s="75" t="s">
        <v>1229</v>
      </c>
      <c r="K81" s="75" t="s">
        <v>907</v>
      </c>
      <c r="L81" s="75" t="s">
        <v>907</v>
      </c>
      <c r="M81" s="75" t="s">
        <v>907</v>
      </c>
      <c r="N81" s="75" t="s">
        <v>907</v>
      </c>
      <c r="O81" s="75" t="s">
        <v>1223</v>
      </c>
      <c r="P81" s="75" t="s">
        <v>1230</v>
      </c>
      <c r="Q81" s="75" t="s">
        <v>979</v>
      </c>
      <c r="R81" s="75" t="s">
        <v>909</v>
      </c>
      <c r="S81" s="75" t="s">
        <v>1204</v>
      </c>
      <c r="T81" s="75" t="s">
        <v>922</v>
      </c>
      <c r="U81" s="75" t="s">
        <v>909</v>
      </c>
      <c r="V81" s="75" t="s">
        <v>1192</v>
      </c>
      <c r="W81" s="75" t="s">
        <v>1231</v>
      </c>
      <c r="X81" s="75" t="s">
        <v>1232</v>
      </c>
      <c r="Y81" s="75" t="s">
        <v>907</v>
      </c>
    </row>
    <row r="82" spans="1:25">
      <c r="A82" s="75" t="s">
        <v>905</v>
      </c>
      <c r="C82" s="75" t="s">
        <v>1013</v>
      </c>
      <c r="D82" s="75" t="s">
        <v>907</v>
      </c>
      <c r="E82" s="75" t="s">
        <v>1234</v>
      </c>
      <c r="F82" s="75" t="s">
        <v>909</v>
      </c>
      <c r="G82" s="75" t="s">
        <v>692</v>
      </c>
      <c r="H82" s="75" t="s">
        <v>693</v>
      </c>
      <c r="I82" s="75" t="s">
        <v>7</v>
      </c>
      <c r="J82" s="75" t="s">
        <v>1235</v>
      </c>
      <c r="K82" s="75" t="s">
        <v>907</v>
      </c>
      <c r="L82" s="75" t="s">
        <v>907</v>
      </c>
      <c r="M82" s="75" t="s">
        <v>907</v>
      </c>
      <c r="N82" s="75" t="s">
        <v>1023</v>
      </c>
      <c r="O82" s="75" t="s">
        <v>907</v>
      </c>
      <c r="P82" s="75" t="s">
        <v>1236</v>
      </c>
      <c r="Q82" s="75" t="s">
        <v>979</v>
      </c>
      <c r="R82" s="75" t="s">
        <v>909</v>
      </c>
      <c r="S82" s="75" t="s">
        <v>1204</v>
      </c>
      <c r="T82" s="75" t="s">
        <v>1002</v>
      </c>
      <c r="U82" s="75" t="s">
        <v>909</v>
      </c>
      <c r="V82" s="75" t="s">
        <v>1237</v>
      </c>
      <c r="W82" s="75" t="s">
        <v>1238</v>
      </c>
      <c r="X82" s="75" t="s">
        <v>1239</v>
      </c>
      <c r="Y82" s="75" t="s">
        <v>1240</v>
      </c>
    </row>
    <row r="83" spans="1:25">
      <c r="A83" s="75" t="s">
        <v>905</v>
      </c>
      <c r="C83" s="75" t="s">
        <v>1013</v>
      </c>
      <c r="D83" s="75" t="s">
        <v>907</v>
      </c>
      <c r="E83" s="75" t="s">
        <v>1241</v>
      </c>
      <c r="F83" s="75" t="s">
        <v>909</v>
      </c>
      <c r="G83" s="75" t="s">
        <v>1242</v>
      </c>
      <c r="H83" s="75" t="s">
        <v>128</v>
      </c>
      <c r="I83" s="75" t="s">
        <v>7</v>
      </c>
      <c r="J83" s="75" t="s">
        <v>1243</v>
      </c>
      <c r="K83" s="75" t="s">
        <v>907</v>
      </c>
      <c r="L83" s="75" t="s">
        <v>907</v>
      </c>
      <c r="M83" s="75" t="s">
        <v>907</v>
      </c>
      <c r="N83" s="75" t="s">
        <v>1062</v>
      </c>
      <c r="O83" s="75" t="s">
        <v>1244</v>
      </c>
      <c r="P83" s="75" t="s">
        <v>1245</v>
      </c>
      <c r="Q83" s="75" t="s">
        <v>979</v>
      </c>
      <c r="R83" s="75" t="s">
        <v>909</v>
      </c>
      <c r="S83" s="75" t="s">
        <v>922</v>
      </c>
      <c r="T83" s="75" t="s">
        <v>922</v>
      </c>
      <c r="U83" s="75" t="s">
        <v>909</v>
      </c>
      <c r="V83" s="75" t="s">
        <v>1246</v>
      </c>
      <c r="W83" s="75" t="s">
        <v>1247</v>
      </c>
      <c r="X83" s="75" t="s">
        <v>1248</v>
      </c>
      <c r="Y83" s="75" t="s">
        <v>907</v>
      </c>
    </row>
    <row r="84" spans="1:25">
      <c r="A84" s="75" t="s">
        <v>905</v>
      </c>
      <c r="C84" s="75" t="s">
        <v>1013</v>
      </c>
      <c r="D84" s="75" t="s">
        <v>907</v>
      </c>
      <c r="E84" s="75" t="s">
        <v>1249</v>
      </c>
      <c r="F84" s="75" t="s">
        <v>909</v>
      </c>
      <c r="G84" s="75" t="s">
        <v>1250</v>
      </c>
      <c r="H84" s="75" t="s">
        <v>136</v>
      </c>
      <c r="I84" s="75" t="s">
        <v>7</v>
      </c>
      <c r="J84" s="75" t="s">
        <v>1251</v>
      </c>
      <c r="K84" s="75" t="s">
        <v>907</v>
      </c>
      <c r="L84" s="75" t="s">
        <v>907</v>
      </c>
      <c r="M84" s="75" t="s">
        <v>907</v>
      </c>
      <c r="N84" s="75" t="s">
        <v>1062</v>
      </c>
      <c r="O84" s="75" t="s">
        <v>1252</v>
      </c>
      <c r="P84" s="75" t="s">
        <v>1253</v>
      </c>
      <c r="Q84" s="75" t="s">
        <v>979</v>
      </c>
      <c r="R84" s="75" t="s">
        <v>909</v>
      </c>
      <c r="S84" s="75" t="s">
        <v>922</v>
      </c>
      <c r="T84" s="75" t="s">
        <v>1001</v>
      </c>
      <c r="U84" s="75" t="s">
        <v>909</v>
      </c>
      <c r="V84" s="75" t="s">
        <v>1254</v>
      </c>
      <c r="W84" s="75" t="s">
        <v>1255</v>
      </c>
      <c r="X84" s="75" t="s">
        <v>1256</v>
      </c>
      <c r="Y84" s="75" t="s">
        <v>907</v>
      </c>
    </row>
    <row r="85" spans="1:25">
      <c r="A85" s="75" t="s">
        <v>905</v>
      </c>
      <c r="C85" s="75" t="s">
        <v>1013</v>
      </c>
      <c r="D85" s="75" t="s">
        <v>907</v>
      </c>
      <c r="E85" s="75" t="s">
        <v>1257</v>
      </c>
      <c r="F85" s="75" t="s">
        <v>909</v>
      </c>
      <c r="G85" s="75" t="s">
        <v>907</v>
      </c>
      <c r="H85" s="75" t="s">
        <v>975</v>
      </c>
      <c r="I85" s="75" t="s">
        <v>7</v>
      </c>
      <c r="J85" s="75" t="s">
        <v>1258</v>
      </c>
      <c r="K85" s="75" t="s">
        <v>907</v>
      </c>
      <c r="L85" s="75" t="s">
        <v>907</v>
      </c>
      <c r="M85" s="75" t="s">
        <v>907</v>
      </c>
      <c r="N85" s="75" t="s">
        <v>1259</v>
      </c>
      <c r="O85" s="75" t="s">
        <v>1260</v>
      </c>
      <c r="P85" s="75" t="s">
        <v>1261</v>
      </c>
      <c r="Q85" s="75" t="s">
        <v>979</v>
      </c>
      <c r="R85" s="75" t="s">
        <v>909</v>
      </c>
      <c r="S85" s="75" t="s">
        <v>922</v>
      </c>
      <c r="T85" s="75" t="s">
        <v>1001</v>
      </c>
      <c r="U85" s="75" t="s">
        <v>909</v>
      </c>
      <c r="V85" s="75" t="s">
        <v>1262</v>
      </c>
      <c r="W85" s="75" t="s">
        <v>1263</v>
      </c>
      <c r="X85" s="75" t="s">
        <v>1264</v>
      </c>
      <c r="Y85" s="75" t="s">
        <v>907</v>
      </c>
    </row>
    <row r="86" spans="1:25">
      <c r="A86" s="75" t="s">
        <v>905</v>
      </c>
      <c r="C86" s="75" t="s">
        <v>1265</v>
      </c>
      <c r="D86" s="75" t="s">
        <v>907</v>
      </c>
      <c r="E86" s="75" t="s">
        <v>1266</v>
      </c>
      <c r="F86" s="75" t="s">
        <v>909</v>
      </c>
      <c r="G86" s="75" t="s">
        <v>1267</v>
      </c>
      <c r="H86" s="75" t="s">
        <v>1268</v>
      </c>
      <c r="I86" s="75" t="s">
        <v>7</v>
      </c>
      <c r="J86" s="75" t="s">
        <v>1269</v>
      </c>
      <c r="K86" s="75" t="s">
        <v>907</v>
      </c>
      <c r="L86" s="75" t="s">
        <v>907</v>
      </c>
      <c r="M86" s="75" t="s">
        <v>907</v>
      </c>
      <c r="N86" s="75" t="s">
        <v>1053</v>
      </c>
      <c r="O86" s="75" t="s">
        <v>907</v>
      </c>
      <c r="P86" s="75" t="s">
        <v>1270</v>
      </c>
      <c r="Q86" s="75" t="s">
        <v>979</v>
      </c>
      <c r="R86" s="75" t="s">
        <v>909</v>
      </c>
      <c r="S86" s="75" t="s">
        <v>909</v>
      </c>
      <c r="T86" s="75" t="s">
        <v>909</v>
      </c>
      <c r="U86" s="75" t="s">
        <v>909</v>
      </c>
      <c r="V86" s="75" t="s">
        <v>1271</v>
      </c>
      <c r="W86" s="75" t="s">
        <v>1272</v>
      </c>
      <c r="X86" s="75" t="s">
        <v>916</v>
      </c>
      <c r="Y86" s="75" t="s">
        <v>907</v>
      </c>
    </row>
    <row r="87" spans="1:25">
      <c r="A87" s="75" t="s">
        <v>905</v>
      </c>
      <c r="C87" s="75" t="s">
        <v>1265</v>
      </c>
      <c r="D87" s="75" t="s">
        <v>907</v>
      </c>
      <c r="E87" s="75" t="s">
        <v>1273</v>
      </c>
      <c r="F87" s="75" t="s">
        <v>909</v>
      </c>
      <c r="G87" s="75" t="s">
        <v>1274</v>
      </c>
      <c r="H87" s="75" t="s">
        <v>1275</v>
      </c>
      <c r="I87" s="75" t="s">
        <v>7</v>
      </c>
      <c r="J87" s="75" t="s">
        <v>1276</v>
      </c>
      <c r="K87" s="75" t="s">
        <v>907</v>
      </c>
      <c r="L87" s="75" t="s">
        <v>907</v>
      </c>
      <c r="M87" s="75" t="s">
        <v>907</v>
      </c>
      <c r="N87" s="75" t="s">
        <v>1053</v>
      </c>
      <c r="O87" s="75" t="s">
        <v>907</v>
      </c>
      <c r="P87" s="75" t="s">
        <v>1270</v>
      </c>
      <c r="Q87" s="75" t="s">
        <v>979</v>
      </c>
      <c r="R87" s="75" t="s">
        <v>909</v>
      </c>
      <c r="S87" s="75" t="s">
        <v>909</v>
      </c>
      <c r="T87" s="75" t="s">
        <v>909</v>
      </c>
      <c r="U87" s="75" t="s">
        <v>909</v>
      </c>
      <c r="V87" s="75" t="s">
        <v>1271</v>
      </c>
      <c r="W87" s="75" t="s">
        <v>1272</v>
      </c>
      <c r="X87" s="75" t="s">
        <v>916</v>
      </c>
      <c r="Y87" s="75" t="s">
        <v>907</v>
      </c>
    </row>
    <row r="88" spans="1:25">
      <c r="A88" s="75" t="s">
        <v>905</v>
      </c>
      <c r="C88" s="75" t="s">
        <v>1265</v>
      </c>
      <c r="D88" s="75" t="s">
        <v>907</v>
      </c>
      <c r="E88" s="75" t="s">
        <v>1277</v>
      </c>
      <c r="F88" s="75" t="s">
        <v>909</v>
      </c>
      <c r="G88" s="75" t="s">
        <v>339</v>
      </c>
      <c r="H88" s="75" t="s">
        <v>340</v>
      </c>
      <c r="I88" s="75" t="s">
        <v>9</v>
      </c>
      <c r="J88" s="75" t="s">
        <v>1278</v>
      </c>
      <c r="K88" s="75" t="s">
        <v>907</v>
      </c>
      <c r="L88" s="75" t="s">
        <v>907</v>
      </c>
      <c r="M88" s="75" t="s">
        <v>907</v>
      </c>
      <c r="N88" s="75" t="s">
        <v>1062</v>
      </c>
      <c r="O88" s="75" t="s">
        <v>1279</v>
      </c>
      <c r="P88" s="75" t="s">
        <v>1280</v>
      </c>
      <c r="Q88" s="75" t="s">
        <v>979</v>
      </c>
      <c r="R88" s="75" t="s">
        <v>909</v>
      </c>
      <c r="S88" s="75" t="s">
        <v>922</v>
      </c>
      <c r="T88" s="75" t="s">
        <v>1204</v>
      </c>
      <c r="U88" s="75" t="s">
        <v>909</v>
      </c>
      <c r="V88" s="75" t="s">
        <v>1281</v>
      </c>
      <c r="W88" s="75" t="s">
        <v>1282</v>
      </c>
      <c r="X88" s="75" t="s">
        <v>1283</v>
      </c>
      <c r="Y88" s="75" t="s">
        <v>907</v>
      </c>
    </row>
    <row r="89" spans="1:25">
      <c r="A89" s="75" t="s">
        <v>905</v>
      </c>
      <c r="C89" s="75" t="s">
        <v>1265</v>
      </c>
      <c r="D89" s="75" t="s">
        <v>907</v>
      </c>
      <c r="E89" s="75" t="s">
        <v>1284</v>
      </c>
      <c r="F89" s="75" t="s">
        <v>909</v>
      </c>
      <c r="G89" s="75" t="s">
        <v>907</v>
      </c>
      <c r="H89" s="75" t="s">
        <v>1285</v>
      </c>
      <c r="I89" s="75" t="s">
        <v>7</v>
      </c>
      <c r="J89" s="75" t="s">
        <v>1286</v>
      </c>
      <c r="K89" s="75" t="s">
        <v>907</v>
      </c>
      <c r="L89" s="75" t="s">
        <v>907</v>
      </c>
      <c r="M89" s="75" t="s">
        <v>907</v>
      </c>
      <c r="N89" s="75" t="s">
        <v>1062</v>
      </c>
      <c r="O89" s="75" t="s">
        <v>1279</v>
      </c>
      <c r="P89" s="75" t="s">
        <v>1287</v>
      </c>
      <c r="Q89" s="75" t="s">
        <v>979</v>
      </c>
      <c r="R89" s="75" t="s">
        <v>909</v>
      </c>
      <c r="S89" s="75" t="s">
        <v>922</v>
      </c>
      <c r="T89" s="75" t="s">
        <v>909</v>
      </c>
      <c r="U89" s="75" t="s">
        <v>909</v>
      </c>
      <c r="V89" s="75" t="s">
        <v>1288</v>
      </c>
      <c r="W89" s="75" t="s">
        <v>1289</v>
      </c>
      <c r="X89" s="75" t="s">
        <v>1290</v>
      </c>
      <c r="Y89" s="75" t="s">
        <v>907</v>
      </c>
    </row>
    <row r="90" spans="1:25">
      <c r="A90" s="75" t="s">
        <v>905</v>
      </c>
      <c r="C90" s="75" t="s">
        <v>1265</v>
      </c>
      <c r="D90" s="75" t="s">
        <v>907</v>
      </c>
      <c r="E90" s="75" t="s">
        <v>1291</v>
      </c>
      <c r="F90" s="75" t="s">
        <v>909</v>
      </c>
      <c r="G90" s="75" t="s">
        <v>907</v>
      </c>
      <c r="H90" s="75" t="s">
        <v>1285</v>
      </c>
      <c r="I90" s="75" t="s">
        <v>7</v>
      </c>
      <c r="J90" s="75" t="s">
        <v>1286</v>
      </c>
      <c r="K90" s="75" t="s">
        <v>907</v>
      </c>
      <c r="L90" s="75" t="s">
        <v>907</v>
      </c>
      <c r="M90" s="75" t="s">
        <v>907</v>
      </c>
      <c r="N90" s="75" t="s">
        <v>1062</v>
      </c>
      <c r="O90" s="75" t="s">
        <v>1279</v>
      </c>
      <c r="P90" s="75" t="s">
        <v>1287</v>
      </c>
      <c r="Q90" s="75" t="s">
        <v>979</v>
      </c>
      <c r="R90" s="75" t="s">
        <v>909</v>
      </c>
      <c r="S90" s="75" t="s">
        <v>922</v>
      </c>
      <c r="T90" s="75" t="s">
        <v>909</v>
      </c>
      <c r="U90" s="75" t="s">
        <v>909</v>
      </c>
      <c r="V90" s="75" t="s">
        <v>1288</v>
      </c>
      <c r="W90" s="75" t="s">
        <v>1289</v>
      </c>
      <c r="X90" s="75" t="s">
        <v>1290</v>
      </c>
      <c r="Y90" s="75" t="s">
        <v>907</v>
      </c>
    </row>
    <row r="91" spans="1:25">
      <c r="A91" s="75" t="s">
        <v>905</v>
      </c>
      <c r="C91" s="75" t="s">
        <v>1265</v>
      </c>
      <c r="D91" s="75" t="s">
        <v>907</v>
      </c>
      <c r="E91" s="75" t="s">
        <v>1292</v>
      </c>
      <c r="F91" s="75" t="s">
        <v>909</v>
      </c>
      <c r="G91" s="75" t="s">
        <v>328</v>
      </c>
      <c r="H91" s="75" t="s">
        <v>329</v>
      </c>
      <c r="I91" s="75" t="s">
        <v>7</v>
      </c>
      <c r="J91" s="75" t="s">
        <v>1286</v>
      </c>
      <c r="K91" s="75" t="s">
        <v>907</v>
      </c>
      <c r="L91" s="75" t="s">
        <v>907</v>
      </c>
      <c r="M91" s="75" t="s">
        <v>907</v>
      </c>
      <c r="N91" s="75" t="s">
        <v>1062</v>
      </c>
      <c r="O91" s="75" t="s">
        <v>1279</v>
      </c>
      <c r="P91" s="75" t="s">
        <v>1280</v>
      </c>
      <c r="Q91" s="75" t="s">
        <v>979</v>
      </c>
      <c r="R91" s="75" t="s">
        <v>909</v>
      </c>
      <c r="S91" s="75" t="s">
        <v>922</v>
      </c>
      <c r="T91" s="75" t="s">
        <v>1204</v>
      </c>
      <c r="U91" s="75" t="s">
        <v>909</v>
      </c>
      <c r="V91" s="75" t="s">
        <v>1288</v>
      </c>
      <c r="W91" s="75" t="s">
        <v>1293</v>
      </c>
      <c r="X91" s="75" t="s">
        <v>1294</v>
      </c>
      <c r="Y91" s="75" t="s">
        <v>907</v>
      </c>
    </row>
    <row r="92" spans="1:25">
      <c r="A92" s="75" t="s">
        <v>905</v>
      </c>
      <c r="C92" s="75" t="s">
        <v>1265</v>
      </c>
      <c r="D92" s="75" t="s">
        <v>907</v>
      </c>
      <c r="E92" s="75" t="s">
        <v>1295</v>
      </c>
      <c r="F92" s="75" t="s">
        <v>909</v>
      </c>
      <c r="G92" s="75" t="s">
        <v>324</v>
      </c>
      <c r="H92" s="75" t="s">
        <v>325</v>
      </c>
      <c r="I92" s="75" t="s">
        <v>7</v>
      </c>
      <c r="J92" s="75" t="s">
        <v>1286</v>
      </c>
      <c r="K92" s="75" t="s">
        <v>907</v>
      </c>
      <c r="L92" s="75" t="s">
        <v>907</v>
      </c>
      <c r="M92" s="75" t="s">
        <v>907</v>
      </c>
      <c r="N92" s="75" t="s">
        <v>1062</v>
      </c>
      <c r="O92" s="75" t="s">
        <v>1279</v>
      </c>
      <c r="P92" s="75" t="s">
        <v>1280</v>
      </c>
      <c r="Q92" s="75" t="s">
        <v>979</v>
      </c>
      <c r="R92" s="75" t="s">
        <v>909</v>
      </c>
      <c r="S92" s="75" t="s">
        <v>922</v>
      </c>
      <c r="T92" s="75" t="s">
        <v>1204</v>
      </c>
      <c r="U92" s="75" t="s">
        <v>909</v>
      </c>
      <c r="V92" s="75" t="s">
        <v>1288</v>
      </c>
      <c r="W92" s="75" t="s">
        <v>1293</v>
      </c>
      <c r="X92" s="75" t="s">
        <v>1294</v>
      </c>
      <c r="Y92" s="75" t="s">
        <v>907</v>
      </c>
    </row>
    <row r="93" spans="1:25">
      <c r="A93" s="75" t="s">
        <v>905</v>
      </c>
      <c r="C93" s="75" t="s">
        <v>1265</v>
      </c>
      <c r="D93" s="75" t="s">
        <v>907</v>
      </c>
      <c r="E93" s="75" t="s">
        <v>1296</v>
      </c>
      <c r="F93" s="75" t="s">
        <v>909</v>
      </c>
      <c r="G93" s="75" t="s">
        <v>299</v>
      </c>
      <c r="H93" s="75" t="s">
        <v>300</v>
      </c>
      <c r="I93" s="75" t="s">
        <v>7</v>
      </c>
      <c r="J93" s="75" t="s">
        <v>1297</v>
      </c>
      <c r="K93" s="75" t="s">
        <v>15</v>
      </c>
      <c r="L93" s="75" t="s">
        <v>907</v>
      </c>
      <c r="M93" s="75" t="s">
        <v>907</v>
      </c>
      <c r="N93" s="75" t="s">
        <v>1062</v>
      </c>
      <c r="O93" s="75" t="s">
        <v>1298</v>
      </c>
      <c r="P93" s="75" t="s">
        <v>1299</v>
      </c>
      <c r="Q93" s="75" t="s">
        <v>979</v>
      </c>
      <c r="R93" s="75" t="s">
        <v>909</v>
      </c>
      <c r="S93" s="75" t="s">
        <v>922</v>
      </c>
      <c r="T93" s="75" t="s">
        <v>1002</v>
      </c>
      <c r="U93" s="75" t="s">
        <v>909</v>
      </c>
      <c r="V93" s="75" t="s">
        <v>1300</v>
      </c>
      <c r="W93" s="75" t="s">
        <v>1301</v>
      </c>
      <c r="X93" s="75" t="s">
        <v>1302</v>
      </c>
      <c r="Y93" s="75" t="s">
        <v>907</v>
      </c>
    </row>
    <row r="94" spans="1:25">
      <c r="A94" s="75" t="s">
        <v>905</v>
      </c>
      <c r="C94" s="75" t="s">
        <v>1265</v>
      </c>
      <c r="D94" s="75" t="s">
        <v>907</v>
      </c>
      <c r="E94" s="75" t="s">
        <v>1303</v>
      </c>
      <c r="F94" s="75" t="s">
        <v>909</v>
      </c>
      <c r="G94" s="75" t="s">
        <v>293</v>
      </c>
      <c r="H94" s="75" t="s">
        <v>294</v>
      </c>
      <c r="I94" s="75" t="s">
        <v>7</v>
      </c>
      <c r="J94" s="75" t="s">
        <v>1297</v>
      </c>
      <c r="K94" s="75" t="s">
        <v>15</v>
      </c>
      <c r="L94" s="75" t="s">
        <v>907</v>
      </c>
      <c r="M94" s="75" t="s">
        <v>907</v>
      </c>
      <c r="N94" s="75" t="s">
        <v>1062</v>
      </c>
      <c r="O94" s="75" t="s">
        <v>1298</v>
      </c>
      <c r="P94" s="75" t="s">
        <v>1299</v>
      </c>
      <c r="Q94" s="75" t="s">
        <v>979</v>
      </c>
      <c r="R94" s="75" t="s">
        <v>909</v>
      </c>
      <c r="S94" s="75" t="s">
        <v>922</v>
      </c>
      <c r="T94" s="75" t="s">
        <v>1002</v>
      </c>
      <c r="U94" s="75" t="s">
        <v>909</v>
      </c>
      <c r="V94" s="75" t="s">
        <v>1300</v>
      </c>
      <c r="W94" s="75" t="s">
        <v>1301</v>
      </c>
      <c r="X94" s="75" t="s">
        <v>1302</v>
      </c>
      <c r="Y94" s="75" t="s">
        <v>907</v>
      </c>
    </row>
    <row r="95" spans="1:25">
      <c r="A95" s="75" t="s">
        <v>905</v>
      </c>
      <c r="C95" s="75" t="s">
        <v>1265</v>
      </c>
      <c r="D95" s="75" t="s">
        <v>907</v>
      </c>
      <c r="E95" s="75" t="s">
        <v>1304</v>
      </c>
      <c r="F95" s="75" t="s">
        <v>909</v>
      </c>
      <c r="G95" s="75" t="s">
        <v>287</v>
      </c>
      <c r="H95" s="75" t="s">
        <v>288</v>
      </c>
      <c r="I95" s="75" t="s">
        <v>7</v>
      </c>
      <c r="J95" s="75" t="s">
        <v>1297</v>
      </c>
      <c r="K95" s="75" t="s">
        <v>15</v>
      </c>
      <c r="L95" s="75" t="s">
        <v>907</v>
      </c>
      <c r="M95" s="75" t="s">
        <v>907</v>
      </c>
      <c r="N95" s="75" t="s">
        <v>1062</v>
      </c>
      <c r="O95" s="75" t="s">
        <v>1298</v>
      </c>
      <c r="P95" s="75" t="s">
        <v>1299</v>
      </c>
      <c r="Q95" s="75" t="s">
        <v>979</v>
      </c>
      <c r="R95" s="75" t="s">
        <v>909</v>
      </c>
      <c r="S95" s="75" t="s">
        <v>922</v>
      </c>
      <c r="T95" s="75" t="s">
        <v>1002</v>
      </c>
      <c r="U95" s="75" t="s">
        <v>909</v>
      </c>
      <c r="V95" s="75" t="s">
        <v>1300</v>
      </c>
      <c r="W95" s="75" t="s">
        <v>1301</v>
      </c>
      <c r="X95" s="75" t="s">
        <v>1302</v>
      </c>
      <c r="Y95" s="75" t="s">
        <v>907</v>
      </c>
    </row>
    <row r="96" spans="1:25">
      <c r="A96" s="75" t="s">
        <v>905</v>
      </c>
      <c r="C96" s="75" t="s">
        <v>1265</v>
      </c>
      <c r="D96" s="75" t="s">
        <v>907</v>
      </c>
      <c r="E96" s="75" t="s">
        <v>1305</v>
      </c>
      <c r="F96" s="75" t="s">
        <v>909</v>
      </c>
      <c r="G96" s="75" t="s">
        <v>306</v>
      </c>
      <c r="H96" s="75" t="s">
        <v>307</v>
      </c>
      <c r="I96" s="75" t="s">
        <v>7</v>
      </c>
      <c r="J96" s="75" t="s">
        <v>1297</v>
      </c>
      <c r="K96" s="75" t="s">
        <v>15</v>
      </c>
      <c r="L96" s="75" t="s">
        <v>907</v>
      </c>
      <c r="M96" s="75" t="s">
        <v>907</v>
      </c>
      <c r="N96" s="75" t="s">
        <v>1062</v>
      </c>
      <c r="O96" s="75" t="s">
        <v>1298</v>
      </c>
      <c r="P96" s="75" t="s">
        <v>1299</v>
      </c>
      <c r="Q96" s="75" t="s">
        <v>979</v>
      </c>
      <c r="R96" s="75" t="s">
        <v>909</v>
      </c>
      <c r="S96" s="75" t="s">
        <v>922</v>
      </c>
      <c r="T96" s="75" t="s">
        <v>1002</v>
      </c>
      <c r="U96" s="75" t="s">
        <v>909</v>
      </c>
      <c r="V96" s="75" t="s">
        <v>1300</v>
      </c>
      <c r="W96" s="75" t="s">
        <v>1301</v>
      </c>
      <c r="X96" s="75" t="s">
        <v>1302</v>
      </c>
      <c r="Y96" s="75" t="s">
        <v>907</v>
      </c>
    </row>
    <row r="97" spans="1:25">
      <c r="A97" s="75" t="s">
        <v>905</v>
      </c>
      <c r="C97" s="75" t="s">
        <v>1265</v>
      </c>
      <c r="D97" s="75" t="s">
        <v>907</v>
      </c>
      <c r="E97" s="75" t="s">
        <v>1306</v>
      </c>
      <c r="F97" s="75" t="s">
        <v>909</v>
      </c>
      <c r="G97" s="75" t="s">
        <v>281</v>
      </c>
      <c r="H97" s="75" t="s">
        <v>282</v>
      </c>
      <c r="I97" s="75" t="s">
        <v>7</v>
      </c>
      <c r="J97" s="75" t="s">
        <v>1297</v>
      </c>
      <c r="K97" s="75" t="s">
        <v>15</v>
      </c>
      <c r="L97" s="75" t="s">
        <v>907</v>
      </c>
      <c r="M97" s="75" t="s">
        <v>907</v>
      </c>
      <c r="N97" s="75" t="s">
        <v>1062</v>
      </c>
      <c r="O97" s="75" t="s">
        <v>1298</v>
      </c>
      <c r="P97" s="75" t="s">
        <v>1299</v>
      </c>
      <c r="Q97" s="75" t="s">
        <v>979</v>
      </c>
      <c r="R97" s="75" t="s">
        <v>909</v>
      </c>
      <c r="S97" s="75" t="s">
        <v>922</v>
      </c>
      <c r="T97" s="75" t="s">
        <v>1002</v>
      </c>
      <c r="U97" s="75" t="s">
        <v>909</v>
      </c>
      <c r="V97" s="75" t="s">
        <v>1300</v>
      </c>
      <c r="W97" s="75" t="s">
        <v>1301</v>
      </c>
      <c r="X97" s="75" t="s">
        <v>1302</v>
      </c>
      <c r="Y97" s="75" t="s">
        <v>907</v>
      </c>
    </row>
    <row r="98" spans="1:25">
      <c r="A98" s="75" t="s">
        <v>905</v>
      </c>
      <c r="C98" s="75" t="s">
        <v>1265</v>
      </c>
      <c r="D98" s="75" t="s">
        <v>907</v>
      </c>
      <c r="E98" s="75" t="s">
        <v>1307</v>
      </c>
      <c r="F98" s="75" t="s">
        <v>909</v>
      </c>
      <c r="G98" s="75" t="s">
        <v>260</v>
      </c>
      <c r="H98" s="75" t="s">
        <v>261</v>
      </c>
      <c r="I98" s="75" t="s">
        <v>7</v>
      </c>
      <c r="J98" s="75" t="s">
        <v>1297</v>
      </c>
      <c r="K98" s="75" t="s">
        <v>15</v>
      </c>
      <c r="L98" s="75" t="s">
        <v>907</v>
      </c>
      <c r="M98" s="75" t="s">
        <v>907</v>
      </c>
      <c r="N98" s="75" t="s">
        <v>1062</v>
      </c>
      <c r="O98" s="75" t="s">
        <v>1298</v>
      </c>
      <c r="P98" s="75" t="s">
        <v>1299</v>
      </c>
      <c r="Q98" s="75" t="s">
        <v>979</v>
      </c>
      <c r="R98" s="75" t="s">
        <v>909</v>
      </c>
      <c r="S98" s="75" t="s">
        <v>922</v>
      </c>
      <c r="T98" s="75" t="s">
        <v>1002</v>
      </c>
      <c r="U98" s="75" t="s">
        <v>909</v>
      </c>
      <c r="V98" s="75" t="s">
        <v>1300</v>
      </c>
      <c r="W98" s="75" t="s">
        <v>1301</v>
      </c>
      <c r="X98" s="75" t="s">
        <v>1302</v>
      </c>
      <c r="Y98" s="75" t="s">
        <v>907</v>
      </c>
    </row>
    <row r="99" spans="1:25">
      <c r="A99" s="75" t="s">
        <v>905</v>
      </c>
      <c r="C99" s="75" t="s">
        <v>1265</v>
      </c>
      <c r="D99" s="75" t="s">
        <v>907</v>
      </c>
      <c r="E99" s="75" t="s">
        <v>1308</v>
      </c>
      <c r="F99" s="75" t="s">
        <v>909</v>
      </c>
      <c r="G99" s="75" t="s">
        <v>312</v>
      </c>
      <c r="H99" s="75" t="s">
        <v>313</v>
      </c>
      <c r="I99" s="75" t="s">
        <v>7</v>
      </c>
      <c r="J99" s="75" t="s">
        <v>1297</v>
      </c>
      <c r="K99" s="75" t="s">
        <v>15</v>
      </c>
      <c r="L99" s="75" t="s">
        <v>907</v>
      </c>
      <c r="M99" s="75" t="s">
        <v>907</v>
      </c>
      <c r="N99" s="75" t="s">
        <v>1062</v>
      </c>
      <c r="O99" s="75" t="s">
        <v>1298</v>
      </c>
      <c r="P99" s="75" t="s">
        <v>1299</v>
      </c>
      <c r="Q99" s="75" t="s">
        <v>979</v>
      </c>
      <c r="R99" s="75" t="s">
        <v>909</v>
      </c>
      <c r="S99" s="75" t="s">
        <v>922</v>
      </c>
      <c r="T99" s="75" t="s">
        <v>1002</v>
      </c>
      <c r="U99" s="75" t="s">
        <v>909</v>
      </c>
      <c r="V99" s="75" t="s">
        <v>1300</v>
      </c>
      <c r="W99" s="75" t="s">
        <v>1301</v>
      </c>
      <c r="X99" s="75" t="s">
        <v>1302</v>
      </c>
      <c r="Y99" s="75" t="s">
        <v>907</v>
      </c>
    </row>
    <row r="100" spans="1:25">
      <c r="A100" s="75" t="s">
        <v>905</v>
      </c>
      <c r="C100" s="75" t="s">
        <v>1265</v>
      </c>
      <c r="D100" s="75" t="s">
        <v>907</v>
      </c>
      <c r="E100" s="75" t="s">
        <v>1309</v>
      </c>
      <c r="F100" s="75" t="s">
        <v>909</v>
      </c>
      <c r="G100" s="75" t="s">
        <v>275</v>
      </c>
      <c r="H100" s="75" t="s">
        <v>276</v>
      </c>
      <c r="I100" s="75" t="s">
        <v>7</v>
      </c>
      <c r="J100" s="75" t="s">
        <v>1297</v>
      </c>
      <c r="K100" s="75" t="s">
        <v>15</v>
      </c>
      <c r="L100" s="75" t="s">
        <v>907</v>
      </c>
      <c r="M100" s="75" t="s">
        <v>907</v>
      </c>
      <c r="N100" s="75" t="s">
        <v>1062</v>
      </c>
      <c r="O100" s="75" t="s">
        <v>1298</v>
      </c>
      <c r="P100" s="75" t="s">
        <v>1299</v>
      </c>
      <c r="Q100" s="75" t="s">
        <v>979</v>
      </c>
      <c r="R100" s="75" t="s">
        <v>909</v>
      </c>
      <c r="S100" s="75" t="s">
        <v>922</v>
      </c>
      <c r="T100" s="75" t="s">
        <v>1002</v>
      </c>
      <c r="U100" s="75" t="s">
        <v>909</v>
      </c>
      <c r="V100" s="75" t="s">
        <v>1300</v>
      </c>
      <c r="W100" s="75" t="s">
        <v>1301</v>
      </c>
      <c r="X100" s="75" t="s">
        <v>1302</v>
      </c>
      <c r="Y100" s="75" t="s">
        <v>907</v>
      </c>
    </row>
    <row r="101" spans="1:25">
      <c r="A101" s="75" t="s">
        <v>905</v>
      </c>
      <c r="C101" s="75" t="s">
        <v>1265</v>
      </c>
      <c r="D101" s="75" t="s">
        <v>907</v>
      </c>
      <c r="E101" s="75" t="s">
        <v>1310</v>
      </c>
      <c r="F101" s="75" t="s">
        <v>909</v>
      </c>
      <c r="G101" s="75" t="s">
        <v>268</v>
      </c>
      <c r="H101" s="75" t="s">
        <v>269</v>
      </c>
      <c r="I101" s="75" t="s">
        <v>7</v>
      </c>
      <c r="J101" s="75" t="s">
        <v>1297</v>
      </c>
      <c r="K101" s="75" t="s">
        <v>15</v>
      </c>
      <c r="L101" s="75" t="s">
        <v>907</v>
      </c>
      <c r="M101" s="75" t="s">
        <v>907</v>
      </c>
      <c r="N101" s="75" t="s">
        <v>1062</v>
      </c>
      <c r="O101" s="75" t="s">
        <v>1298</v>
      </c>
      <c r="P101" s="75" t="s">
        <v>1299</v>
      </c>
      <c r="Q101" s="75" t="s">
        <v>979</v>
      </c>
      <c r="R101" s="75" t="s">
        <v>909</v>
      </c>
      <c r="S101" s="75" t="s">
        <v>922</v>
      </c>
      <c r="T101" s="75" t="s">
        <v>1002</v>
      </c>
      <c r="U101" s="75" t="s">
        <v>909</v>
      </c>
      <c r="V101" s="75" t="s">
        <v>1300</v>
      </c>
      <c r="W101" s="75" t="s">
        <v>1301</v>
      </c>
      <c r="X101" s="75" t="s">
        <v>1302</v>
      </c>
      <c r="Y101" s="75" t="s">
        <v>907</v>
      </c>
    </row>
    <row r="102" spans="1:25">
      <c r="A102" s="75" t="s">
        <v>905</v>
      </c>
      <c r="C102" s="75" t="s">
        <v>1311</v>
      </c>
      <c r="D102" s="75" t="s">
        <v>907</v>
      </c>
      <c r="E102" s="75" t="s">
        <v>1312</v>
      </c>
      <c r="F102" s="75" t="s">
        <v>909</v>
      </c>
      <c r="G102" s="75" t="s">
        <v>907</v>
      </c>
      <c r="H102" s="75" t="s">
        <v>907</v>
      </c>
      <c r="I102" s="75" t="s">
        <v>7</v>
      </c>
      <c r="J102" s="75" t="s">
        <v>1313</v>
      </c>
      <c r="K102" s="75" t="s">
        <v>907</v>
      </c>
      <c r="L102" s="75" t="s">
        <v>907</v>
      </c>
      <c r="M102" s="75" t="s">
        <v>907</v>
      </c>
      <c r="N102" s="75" t="s">
        <v>1314</v>
      </c>
      <c r="O102" s="75" t="s">
        <v>907</v>
      </c>
      <c r="P102" s="75" t="s">
        <v>1315</v>
      </c>
      <c r="Q102" s="75" t="s">
        <v>1002</v>
      </c>
      <c r="R102" s="75" t="s">
        <v>909</v>
      </c>
      <c r="S102" s="75" t="s">
        <v>909</v>
      </c>
      <c r="T102" s="75" t="s">
        <v>909</v>
      </c>
      <c r="U102" s="75" t="s">
        <v>909</v>
      </c>
      <c r="V102" s="75" t="s">
        <v>1316</v>
      </c>
      <c r="W102" s="75" t="s">
        <v>1317</v>
      </c>
      <c r="X102" s="75" t="s">
        <v>916</v>
      </c>
      <c r="Y102" s="75" t="s">
        <v>907</v>
      </c>
    </row>
    <row r="103" spans="1:25">
      <c r="A103" s="75" t="s">
        <v>905</v>
      </c>
      <c r="C103" s="75" t="s">
        <v>1311</v>
      </c>
      <c r="D103" s="75" t="s">
        <v>907</v>
      </c>
      <c r="E103" s="75" t="s">
        <v>1318</v>
      </c>
      <c r="F103" s="75" t="s">
        <v>909</v>
      </c>
      <c r="G103" s="75" t="s">
        <v>907</v>
      </c>
      <c r="H103" s="75" t="s">
        <v>364</v>
      </c>
      <c r="I103" s="75" t="s">
        <v>7</v>
      </c>
      <c r="J103" s="75" t="s">
        <v>1319</v>
      </c>
      <c r="K103" s="75" t="s">
        <v>907</v>
      </c>
      <c r="L103" s="75" t="s">
        <v>907</v>
      </c>
      <c r="M103" s="75" t="s">
        <v>907</v>
      </c>
      <c r="N103" s="75" t="s">
        <v>907</v>
      </c>
      <c r="O103" s="75" t="s">
        <v>907</v>
      </c>
      <c r="P103" s="75" t="s">
        <v>1320</v>
      </c>
      <c r="Q103" s="75" t="s">
        <v>1002</v>
      </c>
      <c r="R103" s="75" t="s">
        <v>909</v>
      </c>
      <c r="S103" s="75" t="s">
        <v>909</v>
      </c>
      <c r="T103" s="75" t="s">
        <v>909</v>
      </c>
      <c r="U103" s="75" t="s">
        <v>909</v>
      </c>
      <c r="V103" s="75" t="s">
        <v>1321</v>
      </c>
      <c r="W103" s="75" t="s">
        <v>1322</v>
      </c>
      <c r="X103" s="75" t="s">
        <v>916</v>
      </c>
      <c r="Y103" s="75" t="s">
        <v>907</v>
      </c>
    </row>
    <row r="104" spans="1:25">
      <c r="A104" s="75" t="s">
        <v>905</v>
      </c>
      <c r="C104" s="75" t="s">
        <v>1311</v>
      </c>
      <c r="D104" s="75" t="s">
        <v>907</v>
      </c>
      <c r="E104" s="75" t="s">
        <v>1318</v>
      </c>
      <c r="F104" s="75" t="s">
        <v>1204</v>
      </c>
      <c r="G104" s="75" t="s">
        <v>907</v>
      </c>
      <c r="H104" s="75" t="s">
        <v>364</v>
      </c>
      <c r="I104" s="75" t="s">
        <v>7</v>
      </c>
      <c r="J104" s="75" t="s">
        <v>1323</v>
      </c>
      <c r="K104" s="75" t="s">
        <v>907</v>
      </c>
      <c r="L104" s="75" t="s">
        <v>907</v>
      </c>
      <c r="M104" s="75" t="s">
        <v>907</v>
      </c>
      <c r="N104" s="75" t="s">
        <v>907</v>
      </c>
      <c r="O104" s="75" t="s">
        <v>907</v>
      </c>
      <c r="P104" s="75" t="s">
        <v>1320</v>
      </c>
      <c r="Q104" s="75" t="s">
        <v>1002</v>
      </c>
      <c r="R104" s="75" t="s">
        <v>909</v>
      </c>
      <c r="S104" s="75" t="s">
        <v>909</v>
      </c>
      <c r="T104" s="75" t="s">
        <v>909</v>
      </c>
      <c r="U104" s="75" t="s">
        <v>909</v>
      </c>
      <c r="V104" s="75" t="s">
        <v>1324</v>
      </c>
      <c r="W104" s="75" t="s">
        <v>1325</v>
      </c>
      <c r="X104" s="75" t="s">
        <v>916</v>
      </c>
      <c r="Y104" s="75" t="s">
        <v>907</v>
      </c>
    </row>
    <row r="105" spans="1:25">
      <c r="A105" s="75" t="s">
        <v>905</v>
      </c>
      <c r="C105" s="75" t="s">
        <v>1311</v>
      </c>
      <c r="D105" s="75" t="s">
        <v>907</v>
      </c>
      <c r="E105" s="75" t="s">
        <v>1326</v>
      </c>
      <c r="F105" s="75" t="s">
        <v>909</v>
      </c>
      <c r="G105" s="75" t="s">
        <v>907</v>
      </c>
      <c r="H105" s="75" t="s">
        <v>907</v>
      </c>
      <c r="I105" s="75" t="s">
        <v>7</v>
      </c>
      <c r="J105" s="75" t="s">
        <v>1327</v>
      </c>
      <c r="K105" s="75" t="s">
        <v>907</v>
      </c>
      <c r="L105" s="75" t="s">
        <v>907</v>
      </c>
      <c r="M105" s="75" t="s">
        <v>907</v>
      </c>
      <c r="N105" s="75" t="s">
        <v>907</v>
      </c>
      <c r="O105" s="75" t="s">
        <v>907</v>
      </c>
      <c r="P105" s="75" t="s">
        <v>1328</v>
      </c>
      <c r="Q105" s="75" t="s">
        <v>1002</v>
      </c>
      <c r="R105" s="75" t="s">
        <v>909</v>
      </c>
      <c r="S105" s="75" t="s">
        <v>909</v>
      </c>
      <c r="T105" s="75" t="s">
        <v>909</v>
      </c>
      <c r="U105" s="75" t="s">
        <v>909</v>
      </c>
      <c r="V105" s="75" t="s">
        <v>1329</v>
      </c>
      <c r="W105" s="75" t="s">
        <v>1330</v>
      </c>
      <c r="X105" s="75" t="s">
        <v>916</v>
      </c>
      <c r="Y105" s="75" t="s">
        <v>907</v>
      </c>
    </row>
    <row r="106" spans="1:25">
      <c r="A106" s="75" t="s">
        <v>905</v>
      </c>
      <c r="C106" s="75" t="s">
        <v>1311</v>
      </c>
      <c r="D106" s="75" t="s">
        <v>907</v>
      </c>
      <c r="E106" s="75" t="s">
        <v>1331</v>
      </c>
      <c r="F106" s="75" t="s">
        <v>909</v>
      </c>
      <c r="G106" s="75" t="s">
        <v>907</v>
      </c>
      <c r="H106" s="75" t="s">
        <v>975</v>
      </c>
      <c r="I106" s="75" t="s">
        <v>7</v>
      </c>
      <c r="J106" s="75" t="s">
        <v>1332</v>
      </c>
      <c r="K106" s="75" t="s">
        <v>907</v>
      </c>
      <c r="L106" s="75" t="s">
        <v>907</v>
      </c>
      <c r="M106" s="75" t="s">
        <v>907</v>
      </c>
      <c r="N106" s="75" t="s">
        <v>907</v>
      </c>
      <c r="O106" s="75" t="s">
        <v>907</v>
      </c>
      <c r="P106" s="75" t="s">
        <v>1333</v>
      </c>
      <c r="Q106" s="75" t="s">
        <v>1002</v>
      </c>
      <c r="R106" s="75" t="s">
        <v>909</v>
      </c>
      <c r="S106" s="75" t="s">
        <v>909</v>
      </c>
      <c r="T106" s="75" t="s">
        <v>909</v>
      </c>
      <c r="U106" s="75" t="s">
        <v>909</v>
      </c>
      <c r="V106" s="75" t="s">
        <v>1334</v>
      </c>
      <c r="W106" s="75" t="s">
        <v>1335</v>
      </c>
      <c r="X106" s="75" t="s">
        <v>916</v>
      </c>
      <c r="Y106" s="75" t="s">
        <v>907</v>
      </c>
    </row>
    <row r="107" spans="1:25">
      <c r="A107" s="75" t="s">
        <v>905</v>
      </c>
      <c r="C107" s="75" t="s">
        <v>1311</v>
      </c>
      <c r="D107" s="75" t="s">
        <v>907</v>
      </c>
      <c r="E107" s="75" t="s">
        <v>1336</v>
      </c>
      <c r="F107" s="75" t="s">
        <v>909</v>
      </c>
      <c r="G107" s="75" t="s">
        <v>907</v>
      </c>
      <c r="H107" s="75" t="s">
        <v>907</v>
      </c>
      <c r="I107" s="75" t="s">
        <v>7</v>
      </c>
      <c r="J107" s="75" t="s">
        <v>1337</v>
      </c>
      <c r="K107" s="75" t="s">
        <v>907</v>
      </c>
      <c r="L107" s="75" t="s">
        <v>907</v>
      </c>
      <c r="M107" s="75" t="s">
        <v>907</v>
      </c>
      <c r="N107" s="75" t="s">
        <v>1338</v>
      </c>
      <c r="O107" s="75" t="s">
        <v>907</v>
      </c>
      <c r="P107" s="75" t="s">
        <v>1339</v>
      </c>
      <c r="Q107" s="75" t="s">
        <v>1002</v>
      </c>
      <c r="R107" s="75" t="s">
        <v>909</v>
      </c>
      <c r="S107" s="75" t="s">
        <v>909</v>
      </c>
      <c r="T107" s="75" t="s">
        <v>909</v>
      </c>
      <c r="U107" s="75" t="s">
        <v>909</v>
      </c>
      <c r="V107" s="75" t="s">
        <v>1340</v>
      </c>
      <c r="W107" s="75" t="s">
        <v>1341</v>
      </c>
      <c r="X107" s="75" t="s">
        <v>916</v>
      </c>
      <c r="Y107" s="75" t="s">
        <v>907</v>
      </c>
    </row>
    <row r="108" spans="1:25">
      <c r="A108" s="75" t="s">
        <v>905</v>
      </c>
      <c r="C108" s="75" t="s">
        <v>1311</v>
      </c>
      <c r="D108" s="75" t="s">
        <v>907</v>
      </c>
      <c r="E108" s="75" t="s">
        <v>1342</v>
      </c>
      <c r="F108" s="75" t="s">
        <v>909</v>
      </c>
      <c r="G108" s="75" t="s">
        <v>907</v>
      </c>
      <c r="H108" s="75" t="s">
        <v>907</v>
      </c>
      <c r="I108" s="75" t="s">
        <v>7</v>
      </c>
      <c r="J108" s="75" t="s">
        <v>1343</v>
      </c>
      <c r="K108" s="75" t="s">
        <v>907</v>
      </c>
      <c r="L108" s="75" t="s">
        <v>907</v>
      </c>
      <c r="M108" s="75" t="s">
        <v>907</v>
      </c>
      <c r="N108" s="75" t="s">
        <v>1338</v>
      </c>
      <c r="O108" s="75" t="s">
        <v>907</v>
      </c>
      <c r="P108" s="75" t="s">
        <v>1344</v>
      </c>
      <c r="Q108" s="75" t="s">
        <v>1002</v>
      </c>
      <c r="R108" s="75" t="s">
        <v>909</v>
      </c>
      <c r="S108" s="75" t="s">
        <v>909</v>
      </c>
      <c r="T108" s="75" t="s">
        <v>909</v>
      </c>
      <c r="U108" s="75" t="s">
        <v>909</v>
      </c>
      <c r="V108" s="75" t="s">
        <v>1345</v>
      </c>
      <c r="W108" s="75" t="s">
        <v>1346</v>
      </c>
      <c r="X108" s="75" t="s">
        <v>916</v>
      </c>
      <c r="Y108" s="75" t="s">
        <v>907</v>
      </c>
    </row>
    <row r="109" spans="1:25">
      <c r="A109" s="75" t="s">
        <v>905</v>
      </c>
      <c r="C109" s="75" t="s">
        <v>1311</v>
      </c>
      <c r="D109" s="75" t="s">
        <v>907</v>
      </c>
      <c r="E109" s="75" t="s">
        <v>1347</v>
      </c>
      <c r="F109" s="75" t="s">
        <v>909</v>
      </c>
      <c r="G109" s="75" t="s">
        <v>907</v>
      </c>
      <c r="H109" s="75" t="s">
        <v>907</v>
      </c>
      <c r="I109" s="75" t="s">
        <v>7</v>
      </c>
      <c r="J109" s="75" t="s">
        <v>1348</v>
      </c>
      <c r="K109" s="75" t="s">
        <v>907</v>
      </c>
      <c r="L109" s="75" t="s">
        <v>907</v>
      </c>
      <c r="M109" s="75" t="s">
        <v>907</v>
      </c>
      <c r="N109" s="75" t="s">
        <v>1338</v>
      </c>
      <c r="O109" s="75" t="s">
        <v>907</v>
      </c>
      <c r="P109" s="75" t="s">
        <v>1349</v>
      </c>
      <c r="Q109" s="75" t="s">
        <v>1002</v>
      </c>
      <c r="R109" s="75" t="s">
        <v>909</v>
      </c>
      <c r="S109" s="75" t="s">
        <v>909</v>
      </c>
      <c r="T109" s="75" t="s">
        <v>909</v>
      </c>
      <c r="U109" s="75" t="s">
        <v>909</v>
      </c>
      <c r="V109" s="75" t="s">
        <v>1350</v>
      </c>
      <c r="W109" s="75" t="s">
        <v>1351</v>
      </c>
      <c r="X109" s="75" t="s">
        <v>916</v>
      </c>
      <c r="Y109" s="75" t="s">
        <v>907</v>
      </c>
    </row>
    <row r="110" spans="1:25">
      <c r="A110" s="75" t="s">
        <v>905</v>
      </c>
      <c r="C110" s="75" t="s">
        <v>1311</v>
      </c>
      <c r="D110" s="75" t="s">
        <v>907</v>
      </c>
      <c r="E110" s="75" t="s">
        <v>1352</v>
      </c>
      <c r="F110" s="75" t="s">
        <v>909</v>
      </c>
      <c r="G110" s="75" t="s">
        <v>907</v>
      </c>
      <c r="H110" s="75" t="s">
        <v>907</v>
      </c>
      <c r="I110" s="75" t="s">
        <v>7</v>
      </c>
      <c r="J110" s="75" t="s">
        <v>1353</v>
      </c>
      <c r="K110" s="75" t="s">
        <v>907</v>
      </c>
      <c r="L110" s="75" t="s">
        <v>907</v>
      </c>
      <c r="M110" s="75" t="s">
        <v>907</v>
      </c>
      <c r="N110" s="75" t="s">
        <v>907</v>
      </c>
      <c r="O110" s="75" t="s">
        <v>907</v>
      </c>
      <c r="P110" s="75" t="s">
        <v>1354</v>
      </c>
      <c r="Q110" s="75" t="s">
        <v>1002</v>
      </c>
      <c r="R110" s="75" t="s">
        <v>909</v>
      </c>
      <c r="S110" s="75" t="s">
        <v>909</v>
      </c>
      <c r="T110" s="75" t="s">
        <v>909</v>
      </c>
      <c r="U110" s="75" t="s">
        <v>909</v>
      </c>
      <c r="V110" s="75" t="s">
        <v>1355</v>
      </c>
      <c r="W110" s="75" t="s">
        <v>1356</v>
      </c>
      <c r="X110" s="75" t="s">
        <v>916</v>
      </c>
      <c r="Y110" s="75" t="s">
        <v>907</v>
      </c>
    </row>
    <row r="111" spans="1:25">
      <c r="A111" s="75" t="s">
        <v>905</v>
      </c>
      <c r="C111" s="75" t="s">
        <v>1311</v>
      </c>
      <c r="D111" s="75" t="s">
        <v>907</v>
      </c>
      <c r="E111" s="75" t="s">
        <v>1357</v>
      </c>
      <c r="F111" s="75" t="s">
        <v>909</v>
      </c>
      <c r="G111" s="75" t="s">
        <v>907</v>
      </c>
      <c r="H111" s="75" t="s">
        <v>907</v>
      </c>
      <c r="I111" s="75" t="s">
        <v>7</v>
      </c>
      <c r="J111" s="75" t="s">
        <v>1358</v>
      </c>
      <c r="K111" s="75" t="s">
        <v>907</v>
      </c>
      <c r="L111" s="75" t="s">
        <v>907</v>
      </c>
      <c r="M111" s="75" t="s">
        <v>907</v>
      </c>
      <c r="N111" s="75" t="s">
        <v>1338</v>
      </c>
      <c r="O111" s="75" t="s">
        <v>1359</v>
      </c>
      <c r="P111" s="75" t="s">
        <v>1360</v>
      </c>
      <c r="Q111" s="75" t="s">
        <v>1002</v>
      </c>
      <c r="R111" s="75" t="s">
        <v>909</v>
      </c>
      <c r="S111" s="75" t="s">
        <v>1204</v>
      </c>
      <c r="T111" s="75" t="s">
        <v>1361</v>
      </c>
      <c r="U111" s="75" t="s">
        <v>909</v>
      </c>
      <c r="V111" s="75" t="s">
        <v>1362</v>
      </c>
      <c r="W111" s="75" t="s">
        <v>1363</v>
      </c>
      <c r="X111" s="75" t="s">
        <v>1364</v>
      </c>
      <c r="Y111" s="75" t="s">
        <v>907</v>
      </c>
    </row>
    <row r="112" spans="1:25">
      <c r="A112" s="75" t="s">
        <v>905</v>
      </c>
      <c r="C112" s="75" t="s">
        <v>1311</v>
      </c>
      <c r="D112" s="75" t="s">
        <v>907</v>
      </c>
      <c r="E112" s="75" t="s">
        <v>1357</v>
      </c>
      <c r="F112" s="75" t="s">
        <v>1204</v>
      </c>
      <c r="G112" s="75" t="s">
        <v>907</v>
      </c>
      <c r="H112" s="75" t="s">
        <v>907</v>
      </c>
      <c r="I112" s="75" t="s">
        <v>7</v>
      </c>
      <c r="J112" s="75" t="s">
        <v>1365</v>
      </c>
      <c r="K112" s="75" t="s">
        <v>907</v>
      </c>
      <c r="L112" s="75" t="s">
        <v>907</v>
      </c>
      <c r="M112" s="75" t="s">
        <v>907</v>
      </c>
      <c r="N112" s="75" t="s">
        <v>1338</v>
      </c>
      <c r="O112" s="75" t="s">
        <v>1366</v>
      </c>
      <c r="P112" s="75" t="s">
        <v>1360</v>
      </c>
      <c r="Q112" s="75" t="s">
        <v>1002</v>
      </c>
      <c r="R112" s="75" t="s">
        <v>909</v>
      </c>
      <c r="S112" s="75" t="s">
        <v>1204</v>
      </c>
      <c r="T112" s="75" t="s">
        <v>1361</v>
      </c>
      <c r="U112" s="75" t="s">
        <v>909</v>
      </c>
      <c r="V112" s="75" t="s">
        <v>1367</v>
      </c>
      <c r="W112" s="75" t="s">
        <v>1368</v>
      </c>
      <c r="X112" s="75" t="s">
        <v>1369</v>
      </c>
      <c r="Y112" s="75" t="s">
        <v>907</v>
      </c>
    </row>
    <row r="113" spans="1:25">
      <c r="A113" s="75" t="s">
        <v>905</v>
      </c>
      <c r="C113" s="75" t="s">
        <v>1370</v>
      </c>
      <c r="D113" s="75" t="s">
        <v>907</v>
      </c>
      <c r="E113" s="75" t="s">
        <v>1371</v>
      </c>
      <c r="F113" s="75" t="s">
        <v>909</v>
      </c>
      <c r="G113" s="75" t="s">
        <v>1372</v>
      </c>
      <c r="H113" s="75" t="s">
        <v>907</v>
      </c>
      <c r="I113" s="75" t="s">
        <v>7</v>
      </c>
      <c r="J113" s="75" t="s">
        <v>1373</v>
      </c>
      <c r="K113" s="75" t="s">
        <v>907</v>
      </c>
      <c r="L113" s="75" t="s">
        <v>907</v>
      </c>
      <c r="M113" s="75" t="s">
        <v>907</v>
      </c>
      <c r="N113" s="75" t="s">
        <v>907</v>
      </c>
      <c r="O113" s="75" t="s">
        <v>907</v>
      </c>
      <c r="P113" s="75" t="s">
        <v>1374</v>
      </c>
      <c r="Q113" s="75" t="s">
        <v>1002</v>
      </c>
      <c r="R113" s="75" t="s">
        <v>909</v>
      </c>
      <c r="S113" s="75" t="s">
        <v>909</v>
      </c>
      <c r="T113" s="75" t="s">
        <v>909</v>
      </c>
      <c r="U113" s="75" t="s">
        <v>909</v>
      </c>
      <c r="V113" s="75" t="s">
        <v>1375</v>
      </c>
      <c r="W113" s="75" t="s">
        <v>1376</v>
      </c>
      <c r="X113" s="75" t="s">
        <v>1377</v>
      </c>
      <c r="Y113" s="75" t="s">
        <v>1378</v>
      </c>
    </row>
    <row r="114" spans="1:25">
      <c r="A114" s="75" t="s">
        <v>905</v>
      </c>
      <c r="C114" s="75" t="s">
        <v>1370</v>
      </c>
      <c r="D114" s="75" t="s">
        <v>907</v>
      </c>
      <c r="E114" s="75" t="s">
        <v>1379</v>
      </c>
      <c r="F114" s="75" t="s">
        <v>909</v>
      </c>
      <c r="G114" s="75" t="s">
        <v>907</v>
      </c>
      <c r="H114" s="75" t="s">
        <v>907</v>
      </c>
      <c r="I114" s="75" t="s">
        <v>7</v>
      </c>
      <c r="J114" s="75" t="s">
        <v>1380</v>
      </c>
      <c r="K114" s="75" t="s">
        <v>907</v>
      </c>
      <c r="L114" s="75" t="s">
        <v>907</v>
      </c>
      <c r="M114" s="75" t="s">
        <v>907</v>
      </c>
      <c r="N114" s="75" t="s">
        <v>1381</v>
      </c>
      <c r="O114" s="75" t="s">
        <v>907</v>
      </c>
      <c r="P114" s="75" t="s">
        <v>1382</v>
      </c>
      <c r="Q114" s="75" t="s">
        <v>1002</v>
      </c>
      <c r="R114" s="75" t="s">
        <v>909</v>
      </c>
      <c r="S114" s="75" t="s">
        <v>909</v>
      </c>
      <c r="T114" s="75" t="s">
        <v>909</v>
      </c>
      <c r="U114" s="75" t="s">
        <v>909</v>
      </c>
      <c r="V114" s="75" t="s">
        <v>1383</v>
      </c>
      <c r="W114" s="75" t="s">
        <v>1384</v>
      </c>
      <c r="X114" s="75" t="s">
        <v>916</v>
      </c>
      <c r="Y114" s="75" t="s">
        <v>907</v>
      </c>
    </row>
    <row r="115" spans="1:25">
      <c r="A115" s="75" t="s">
        <v>905</v>
      </c>
      <c r="C115" s="75" t="s">
        <v>1370</v>
      </c>
      <c r="D115" s="75" t="s">
        <v>907</v>
      </c>
      <c r="E115" s="75" t="s">
        <v>1385</v>
      </c>
      <c r="F115" s="75" t="s">
        <v>909</v>
      </c>
      <c r="G115" s="75" t="s">
        <v>907</v>
      </c>
      <c r="H115" s="75" t="s">
        <v>1386</v>
      </c>
      <c r="I115" s="75" t="s">
        <v>7</v>
      </c>
      <c r="J115" s="75" t="s">
        <v>1387</v>
      </c>
      <c r="K115" s="75" t="s">
        <v>907</v>
      </c>
      <c r="L115" s="75" t="s">
        <v>907</v>
      </c>
      <c r="M115" s="75" t="s">
        <v>907</v>
      </c>
      <c r="N115" s="75" t="s">
        <v>1388</v>
      </c>
      <c r="O115" s="75" t="s">
        <v>907</v>
      </c>
      <c r="P115" s="75" t="s">
        <v>1389</v>
      </c>
      <c r="Q115" s="75" t="s">
        <v>1002</v>
      </c>
      <c r="R115" s="75" t="s">
        <v>909</v>
      </c>
      <c r="S115" s="75" t="s">
        <v>909</v>
      </c>
      <c r="T115" s="75" t="s">
        <v>909</v>
      </c>
      <c r="U115" s="75" t="s">
        <v>909</v>
      </c>
      <c r="V115" s="75" t="s">
        <v>1390</v>
      </c>
      <c r="W115" s="75" t="s">
        <v>1391</v>
      </c>
      <c r="X115" s="75" t="s">
        <v>916</v>
      </c>
      <c r="Y115" s="75" t="s">
        <v>907</v>
      </c>
    </row>
    <row r="116" spans="1:25">
      <c r="A116" s="75" t="s">
        <v>905</v>
      </c>
      <c r="C116" s="75" t="s">
        <v>1370</v>
      </c>
      <c r="D116" s="75" t="s">
        <v>907</v>
      </c>
      <c r="E116" s="75" t="s">
        <v>1392</v>
      </c>
      <c r="F116" s="75" t="s">
        <v>909</v>
      </c>
      <c r="G116" s="75" t="s">
        <v>907</v>
      </c>
      <c r="H116" s="75" t="s">
        <v>975</v>
      </c>
      <c r="I116" s="75" t="s">
        <v>7</v>
      </c>
      <c r="J116" s="75" t="s">
        <v>1393</v>
      </c>
      <c r="K116" s="75" t="s">
        <v>907</v>
      </c>
      <c r="L116" s="75" t="s">
        <v>907</v>
      </c>
      <c r="M116" s="75" t="s">
        <v>907</v>
      </c>
      <c r="N116" s="75" t="s">
        <v>1394</v>
      </c>
      <c r="O116" s="75" t="s">
        <v>907</v>
      </c>
      <c r="P116" s="75" t="s">
        <v>1395</v>
      </c>
      <c r="Q116" s="75" t="s">
        <v>1002</v>
      </c>
      <c r="R116" s="75" t="s">
        <v>909</v>
      </c>
      <c r="S116" s="75" t="s">
        <v>909</v>
      </c>
      <c r="T116" s="75" t="s">
        <v>909</v>
      </c>
      <c r="U116" s="75" t="s">
        <v>909</v>
      </c>
      <c r="V116" s="75" t="s">
        <v>1396</v>
      </c>
      <c r="W116" s="75" t="s">
        <v>1397</v>
      </c>
      <c r="X116" s="75" t="s">
        <v>916</v>
      </c>
      <c r="Y116" s="75" t="s">
        <v>907</v>
      </c>
    </row>
    <row r="117" spans="1:25">
      <c r="A117" s="75" t="s">
        <v>905</v>
      </c>
      <c r="C117" s="75" t="s">
        <v>1370</v>
      </c>
      <c r="D117" s="75" t="s">
        <v>907</v>
      </c>
      <c r="E117" s="75" t="s">
        <v>1398</v>
      </c>
      <c r="F117" s="75" t="s">
        <v>1399</v>
      </c>
      <c r="G117" s="75" t="s">
        <v>907</v>
      </c>
      <c r="H117" s="75" t="s">
        <v>907</v>
      </c>
      <c r="I117" s="75" t="s">
        <v>9</v>
      </c>
      <c r="J117" s="75" t="s">
        <v>1400</v>
      </c>
      <c r="K117" s="75" t="s">
        <v>907</v>
      </c>
      <c r="L117" s="75" t="s">
        <v>907</v>
      </c>
      <c r="M117" s="75" t="s">
        <v>907</v>
      </c>
      <c r="N117" s="75" t="s">
        <v>1401</v>
      </c>
      <c r="O117" s="75" t="s">
        <v>1402</v>
      </c>
      <c r="P117" s="75" t="s">
        <v>1403</v>
      </c>
      <c r="Q117" s="75" t="s">
        <v>1002</v>
      </c>
      <c r="R117" s="75" t="s">
        <v>909</v>
      </c>
      <c r="S117" s="75" t="s">
        <v>1002</v>
      </c>
      <c r="T117" s="75" t="s">
        <v>909</v>
      </c>
      <c r="U117" s="75" t="s">
        <v>909</v>
      </c>
      <c r="V117" s="75" t="s">
        <v>1404</v>
      </c>
      <c r="W117" s="75" t="s">
        <v>1405</v>
      </c>
      <c r="X117" s="75" t="s">
        <v>1406</v>
      </c>
      <c r="Y117" s="75" t="s">
        <v>907</v>
      </c>
    </row>
    <row r="118" spans="1:25">
      <c r="A118" s="75" t="s">
        <v>905</v>
      </c>
      <c r="C118" s="75" t="s">
        <v>1370</v>
      </c>
      <c r="D118" s="75" t="s">
        <v>907</v>
      </c>
      <c r="E118" s="75" t="s">
        <v>1398</v>
      </c>
      <c r="F118" s="75" t="s">
        <v>1407</v>
      </c>
      <c r="G118" s="75" t="s">
        <v>907</v>
      </c>
      <c r="H118" s="75" t="s">
        <v>907</v>
      </c>
      <c r="I118" s="75" t="s">
        <v>9</v>
      </c>
      <c r="J118" s="75" t="s">
        <v>1408</v>
      </c>
      <c r="K118" s="75" t="s">
        <v>907</v>
      </c>
      <c r="L118" s="75" t="s">
        <v>907</v>
      </c>
      <c r="M118" s="75" t="s">
        <v>907</v>
      </c>
      <c r="N118" s="75" t="s">
        <v>1401</v>
      </c>
      <c r="O118" s="75" t="s">
        <v>1402</v>
      </c>
      <c r="P118" s="75" t="s">
        <v>1403</v>
      </c>
      <c r="Q118" s="75" t="s">
        <v>1002</v>
      </c>
      <c r="R118" s="75" t="s">
        <v>909</v>
      </c>
      <c r="S118" s="75" t="s">
        <v>1002</v>
      </c>
      <c r="T118" s="75" t="s">
        <v>909</v>
      </c>
      <c r="U118" s="75" t="s">
        <v>909</v>
      </c>
      <c r="V118" s="75" t="s">
        <v>1409</v>
      </c>
      <c r="W118" s="75" t="s">
        <v>1410</v>
      </c>
      <c r="X118" s="75" t="s">
        <v>1411</v>
      </c>
      <c r="Y118" s="75" t="s">
        <v>907</v>
      </c>
    </row>
    <row r="119" spans="1:25">
      <c r="A119" s="75" t="s">
        <v>905</v>
      </c>
      <c r="C119" s="75" t="s">
        <v>1412</v>
      </c>
      <c r="D119" s="75" t="s">
        <v>907</v>
      </c>
      <c r="E119" s="75" t="s">
        <v>1413</v>
      </c>
      <c r="F119" s="75" t="s">
        <v>909</v>
      </c>
      <c r="G119" s="75" t="s">
        <v>907</v>
      </c>
      <c r="H119" s="75" t="s">
        <v>975</v>
      </c>
      <c r="I119" s="75" t="s">
        <v>8</v>
      </c>
      <c r="J119" s="75" t="s">
        <v>1414</v>
      </c>
      <c r="K119" s="75" t="s">
        <v>907</v>
      </c>
      <c r="L119" s="75" t="s">
        <v>907</v>
      </c>
      <c r="M119" s="75" t="s">
        <v>907</v>
      </c>
      <c r="N119" s="75" t="s">
        <v>1023</v>
      </c>
      <c r="O119" s="75" t="s">
        <v>907</v>
      </c>
      <c r="P119" s="75" t="s">
        <v>1415</v>
      </c>
      <c r="Q119" s="75" t="s">
        <v>1002</v>
      </c>
      <c r="R119" s="75" t="s">
        <v>909</v>
      </c>
      <c r="S119" s="75" t="s">
        <v>909</v>
      </c>
      <c r="T119" s="75" t="s">
        <v>909</v>
      </c>
      <c r="U119" s="75" t="s">
        <v>909</v>
      </c>
      <c r="V119" s="75" t="s">
        <v>1416</v>
      </c>
      <c r="W119" s="75" t="s">
        <v>1417</v>
      </c>
      <c r="X119" s="75" t="s">
        <v>916</v>
      </c>
      <c r="Y119" s="75" t="s">
        <v>907</v>
      </c>
    </row>
    <row r="120" spans="1:25">
      <c r="A120" s="75" t="s">
        <v>905</v>
      </c>
      <c r="C120" s="75" t="s">
        <v>1412</v>
      </c>
      <c r="D120" s="75" t="s">
        <v>907</v>
      </c>
      <c r="E120" s="75" t="s">
        <v>1418</v>
      </c>
      <c r="F120" s="75" t="s">
        <v>909</v>
      </c>
      <c r="G120" s="75" t="s">
        <v>907</v>
      </c>
      <c r="H120" s="75" t="s">
        <v>907</v>
      </c>
      <c r="I120" s="75" t="s">
        <v>9</v>
      </c>
      <c r="J120" s="75" t="s">
        <v>1419</v>
      </c>
      <c r="K120" s="75" t="s">
        <v>907</v>
      </c>
      <c r="L120" s="75" t="s">
        <v>907</v>
      </c>
      <c r="M120" s="75" t="s">
        <v>907</v>
      </c>
      <c r="N120" s="75" t="s">
        <v>1420</v>
      </c>
      <c r="O120" s="75" t="s">
        <v>1421</v>
      </c>
      <c r="P120" s="75" t="s">
        <v>1422</v>
      </c>
      <c r="Q120" s="75" t="s">
        <v>1002</v>
      </c>
      <c r="R120" s="75" t="s">
        <v>909</v>
      </c>
      <c r="S120" s="75" t="s">
        <v>931</v>
      </c>
      <c r="T120" s="75" t="s">
        <v>979</v>
      </c>
      <c r="U120" s="75" t="s">
        <v>909</v>
      </c>
      <c r="V120" s="75" t="s">
        <v>1423</v>
      </c>
      <c r="W120" s="75" t="s">
        <v>1424</v>
      </c>
      <c r="X120" s="75" t="s">
        <v>1425</v>
      </c>
      <c r="Y120" s="75" t="s">
        <v>907</v>
      </c>
    </row>
    <row r="121" spans="1:25">
      <c r="A121" s="75" t="s">
        <v>905</v>
      </c>
      <c r="C121" s="75" t="s">
        <v>1412</v>
      </c>
      <c r="D121" s="75" t="s">
        <v>907</v>
      </c>
      <c r="E121" s="75" t="s">
        <v>1426</v>
      </c>
      <c r="F121" s="75" t="s">
        <v>909</v>
      </c>
      <c r="G121" s="75" t="s">
        <v>907</v>
      </c>
      <c r="H121" s="75" t="s">
        <v>907</v>
      </c>
      <c r="I121" s="75" t="s">
        <v>9</v>
      </c>
      <c r="J121" s="75" t="s">
        <v>1427</v>
      </c>
      <c r="K121" s="75" t="s">
        <v>907</v>
      </c>
      <c r="L121" s="75" t="s">
        <v>907</v>
      </c>
      <c r="M121" s="75" t="s">
        <v>907</v>
      </c>
      <c r="N121" s="75" t="s">
        <v>1428</v>
      </c>
      <c r="O121" s="75" t="s">
        <v>1429</v>
      </c>
      <c r="P121" s="75" t="s">
        <v>1430</v>
      </c>
      <c r="Q121" s="75" t="s">
        <v>1002</v>
      </c>
      <c r="R121" s="75" t="s">
        <v>909</v>
      </c>
      <c r="S121" s="75" t="s">
        <v>931</v>
      </c>
      <c r="T121" s="75" t="s">
        <v>941</v>
      </c>
      <c r="U121" s="75" t="s">
        <v>909</v>
      </c>
      <c r="V121" s="75" t="s">
        <v>1431</v>
      </c>
      <c r="W121" s="75" t="s">
        <v>1432</v>
      </c>
      <c r="X121" s="75" t="s">
        <v>1433</v>
      </c>
      <c r="Y121" s="75" t="s">
        <v>907</v>
      </c>
    </row>
    <row r="122" spans="1:25">
      <c r="A122" s="75" t="s">
        <v>905</v>
      </c>
      <c r="C122" s="75" t="s">
        <v>1412</v>
      </c>
      <c r="D122" s="75" t="s">
        <v>907</v>
      </c>
      <c r="E122" s="75" t="s">
        <v>1434</v>
      </c>
      <c r="F122" s="75" t="s">
        <v>909</v>
      </c>
      <c r="G122" s="75" t="s">
        <v>907</v>
      </c>
      <c r="H122" s="75" t="s">
        <v>907</v>
      </c>
      <c r="I122" s="75" t="s">
        <v>9</v>
      </c>
      <c r="J122" s="75" t="s">
        <v>1435</v>
      </c>
      <c r="K122" s="75" t="s">
        <v>907</v>
      </c>
      <c r="L122" s="75" t="s">
        <v>907</v>
      </c>
      <c r="M122" s="75" t="s">
        <v>907</v>
      </c>
      <c r="N122" s="75" t="s">
        <v>1436</v>
      </c>
      <c r="O122" s="75" t="s">
        <v>1437</v>
      </c>
      <c r="P122" s="75" t="s">
        <v>1438</v>
      </c>
      <c r="Q122" s="75" t="s">
        <v>1002</v>
      </c>
      <c r="R122" s="75" t="s">
        <v>909</v>
      </c>
      <c r="S122" s="75" t="s">
        <v>931</v>
      </c>
      <c r="T122" s="75" t="s">
        <v>922</v>
      </c>
      <c r="U122" s="75" t="s">
        <v>909</v>
      </c>
      <c r="V122" s="75" t="s">
        <v>1439</v>
      </c>
      <c r="W122" s="75" t="s">
        <v>1440</v>
      </c>
      <c r="X122" s="75" t="s">
        <v>1441</v>
      </c>
      <c r="Y122" s="75" t="s">
        <v>907</v>
      </c>
    </row>
    <row r="123" spans="1:25">
      <c r="A123" s="75" t="s">
        <v>905</v>
      </c>
      <c r="C123" s="75" t="s">
        <v>1412</v>
      </c>
      <c r="D123" s="75" t="s">
        <v>907</v>
      </c>
      <c r="E123" s="75" t="s">
        <v>1442</v>
      </c>
      <c r="F123" s="75" t="s">
        <v>909</v>
      </c>
      <c r="G123" s="75" t="s">
        <v>907</v>
      </c>
      <c r="H123" s="75" t="s">
        <v>907</v>
      </c>
      <c r="I123" s="75" t="s">
        <v>9</v>
      </c>
      <c r="J123" s="75" t="s">
        <v>1443</v>
      </c>
      <c r="K123" s="75" t="s">
        <v>907</v>
      </c>
      <c r="L123" s="75" t="s">
        <v>907</v>
      </c>
      <c r="M123" s="75" t="s">
        <v>907</v>
      </c>
      <c r="N123" s="75" t="s">
        <v>1420</v>
      </c>
      <c r="O123" s="75" t="s">
        <v>1444</v>
      </c>
      <c r="P123" s="75" t="s">
        <v>1445</v>
      </c>
      <c r="Q123" s="75" t="s">
        <v>1002</v>
      </c>
      <c r="R123" s="75" t="s">
        <v>909</v>
      </c>
      <c r="S123" s="75" t="s">
        <v>931</v>
      </c>
      <c r="T123" s="75" t="s">
        <v>941</v>
      </c>
      <c r="U123" s="75" t="s">
        <v>909</v>
      </c>
      <c r="V123" s="75" t="s">
        <v>1446</v>
      </c>
      <c r="W123" s="75" t="s">
        <v>1447</v>
      </c>
      <c r="X123" s="75" t="s">
        <v>1448</v>
      </c>
      <c r="Y123" s="75" t="s">
        <v>907</v>
      </c>
    </row>
    <row r="124" spans="1:25">
      <c r="A124" s="75" t="s">
        <v>905</v>
      </c>
      <c r="C124" s="75" t="s">
        <v>1449</v>
      </c>
      <c r="D124" s="75" t="s">
        <v>907</v>
      </c>
      <c r="E124" s="75" t="s">
        <v>1450</v>
      </c>
      <c r="F124" s="75" t="s">
        <v>909</v>
      </c>
      <c r="G124" s="75" t="s">
        <v>907</v>
      </c>
      <c r="H124" s="75" t="s">
        <v>907</v>
      </c>
      <c r="I124" s="75" t="s">
        <v>7</v>
      </c>
      <c r="J124" s="75" t="s">
        <v>1451</v>
      </c>
      <c r="K124" s="75" t="s">
        <v>907</v>
      </c>
      <c r="L124" s="75" t="s">
        <v>907</v>
      </c>
      <c r="M124" s="75" t="s">
        <v>907</v>
      </c>
      <c r="N124" s="75" t="s">
        <v>1452</v>
      </c>
      <c r="O124" s="75" t="s">
        <v>907</v>
      </c>
      <c r="P124" s="75" t="s">
        <v>1453</v>
      </c>
      <c r="Q124" s="75" t="s">
        <v>932</v>
      </c>
      <c r="R124" s="75" t="s">
        <v>909</v>
      </c>
      <c r="S124" s="75" t="s">
        <v>909</v>
      </c>
      <c r="T124" s="75" t="s">
        <v>909</v>
      </c>
      <c r="U124" s="75" t="s">
        <v>909</v>
      </c>
      <c r="V124" s="75" t="s">
        <v>1454</v>
      </c>
      <c r="W124" s="75" t="s">
        <v>1455</v>
      </c>
      <c r="X124" s="75" t="s">
        <v>916</v>
      </c>
      <c r="Y124" s="75" t="s">
        <v>907</v>
      </c>
    </row>
    <row r="125" spans="1:25">
      <c r="A125" s="75" t="s">
        <v>905</v>
      </c>
      <c r="C125" s="75" t="s">
        <v>1456</v>
      </c>
      <c r="D125" s="75" t="s">
        <v>907</v>
      </c>
      <c r="E125" s="75" t="s">
        <v>1457</v>
      </c>
      <c r="F125" s="75" t="s">
        <v>909</v>
      </c>
      <c r="G125" s="75" t="s">
        <v>907</v>
      </c>
      <c r="H125" s="75" t="s">
        <v>907</v>
      </c>
      <c r="I125" s="75" t="s">
        <v>8</v>
      </c>
      <c r="J125" s="75" t="s">
        <v>1458</v>
      </c>
      <c r="K125" s="75" t="s">
        <v>907</v>
      </c>
      <c r="L125" s="75" t="s">
        <v>907</v>
      </c>
      <c r="M125" s="75" t="s">
        <v>907</v>
      </c>
      <c r="N125" s="75" t="s">
        <v>929</v>
      </c>
      <c r="O125" s="75" t="s">
        <v>907</v>
      </c>
      <c r="P125" s="75" t="s">
        <v>930</v>
      </c>
      <c r="Q125" s="75" t="s">
        <v>932</v>
      </c>
      <c r="R125" s="75" t="s">
        <v>909</v>
      </c>
      <c r="S125" s="75" t="s">
        <v>922</v>
      </c>
      <c r="T125" s="75" t="s">
        <v>932</v>
      </c>
      <c r="U125" s="75" t="s">
        <v>909</v>
      </c>
      <c r="V125" s="75" t="s">
        <v>1459</v>
      </c>
      <c r="W125" s="75" t="s">
        <v>1460</v>
      </c>
      <c r="X125" s="75" t="s">
        <v>1461</v>
      </c>
      <c r="Y125" s="75" t="s">
        <v>907</v>
      </c>
    </row>
    <row r="126" spans="1:25">
      <c r="A126" s="75" t="s">
        <v>905</v>
      </c>
      <c r="C126" s="75" t="s">
        <v>1456</v>
      </c>
      <c r="D126" s="75" t="s">
        <v>907</v>
      </c>
      <c r="E126" s="75" t="s">
        <v>1462</v>
      </c>
      <c r="F126" s="75" t="s">
        <v>909</v>
      </c>
      <c r="G126" s="75" t="s">
        <v>907</v>
      </c>
      <c r="H126" s="75" t="s">
        <v>907</v>
      </c>
      <c r="I126" s="75" t="s">
        <v>9</v>
      </c>
      <c r="J126" s="75" t="s">
        <v>1463</v>
      </c>
      <c r="K126" s="75" t="s">
        <v>907</v>
      </c>
      <c r="L126" s="75" t="s">
        <v>907</v>
      </c>
      <c r="M126" s="75" t="s">
        <v>907</v>
      </c>
      <c r="N126" s="75" t="s">
        <v>1464</v>
      </c>
      <c r="O126" s="75" t="s">
        <v>1465</v>
      </c>
      <c r="P126" s="75" t="s">
        <v>1466</v>
      </c>
      <c r="Q126" s="75" t="s">
        <v>932</v>
      </c>
      <c r="R126" s="75" t="s">
        <v>909</v>
      </c>
      <c r="S126" s="75" t="s">
        <v>1001</v>
      </c>
      <c r="T126" s="75" t="s">
        <v>1204</v>
      </c>
      <c r="U126" s="75" t="s">
        <v>909</v>
      </c>
      <c r="V126" s="75" t="s">
        <v>1467</v>
      </c>
      <c r="W126" s="75" t="s">
        <v>1468</v>
      </c>
      <c r="X126" s="75" t="s">
        <v>1469</v>
      </c>
      <c r="Y126" s="75" t="s">
        <v>907</v>
      </c>
    </row>
    <row r="127" spans="1:25">
      <c r="A127" s="75" t="s">
        <v>905</v>
      </c>
      <c r="C127" s="75" t="s">
        <v>1456</v>
      </c>
      <c r="D127" s="75" t="s">
        <v>907</v>
      </c>
      <c r="E127" s="75" t="s">
        <v>1470</v>
      </c>
      <c r="F127" s="75" t="s">
        <v>909</v>
      </c>
      <c r="G127" s="75" t="s">
        <v>907</v>
      </c>
      <c r="H127" s="75" t="s">
        <v>907</v>
      </c>
      <c r="I127" s="75" t="s">
        <v>9</v>
      </c>
      <c r="J127" s="75" t="s">
        <v>1471</v>
      </c>
      <c r="K127" s="75" t="s">
        <v>907</v>
      </c>
      <c r="L127" s="75" t="s">
        <v>907</v>
      </c>
      <c r="M127" s="75" t="s">
        <v>907</v>
      </c>
      <c r="N127" s="75" t="s">
        <v>1472</v>
      </c>
      <c r="O127" s="75" t="s">
        <v>1473</v>
      </c>
      <c r="P127" s="75" t="s">
        <v>1474</v>
      </c>
      <c r="Q127" s="75" t="s">
        <v>932</v>
      </c>
      <c r="R127" s="75" t="s">
        <v>909</v>
      </c>
      <c r="S127" s="75" t="s">
        <v>1001</v>
      </c>
      <c r="T127" s="75" t="s">
        <v>1001</v>
      </c>
      <c r="U127" s="75" t="s">
        <v>909</v>
      </c>
      <c r="V127" s="75" t="s">
        <v>1475</v>
      </c>
      <c r="W127" s="75" t="s">
        <v>1476</v>
      </c>
      <c r="X127" s="75" t="s">
        <v>1477</v>
      </c>
      <c r="Y127" s="75" t="s">
        <v>907</v>
      </c>
    </row>
    <row r="128" spans="1:25">
      <c r="A128" s="75" t="s">
        <v>905</v>
      </c>
      <c r="C128" s="75" t="s">
        <v>1478</v>
      </c>
      <c r="D128" s="75" t="s">
        <v>907</v>
      </c>
      <c r="E128" s="75" t="s">
        <v>1479</v>
      </c>
      <c r="F128" s="75" t="s">
        <v>1204</v>
      </c>
      <c r="G128" s="75" t="s">
        <v>907</v>
      </c>
      <c r="H128" s="75" t="s">
        <v>975</v>
      </c>
      <c r="I128" s="75" t="s">
        <v>7</v>
      </c>
      <c r="J128" s="75" t="s">
        <v>1480</v>
      </c>
      <c r="K128" s="75" t="s">
        <v>907</v>
      </c>
      <c r="L128" s="75" t="s">
        <v>907</v>
      </c>
      <c r="M128" s="75" t="s">
        <v>907</v>
      </c>
      <c r="N128" s="75" t="s">
        <v>907</v>
      </c>
      <c r="O128" s="75" t="s">
        <v>907</v>
      </c>
      <c r="P128" s="75" t="s">
        <v>1481</v>
      </c>
      <c r="Q128" s="75" t="s">
        <v>1002</v>
      </c>
      <c r="R128" s="75" t="s">
        <v>909</v>
      </c>
      <c r="S128" s="75" t="s">
        <v>909</v>
      </c>
      <c r="T128" s="75" t="s">
        <v>909</v>
      </c>
      <c r="U128" s="75" t="s">
        <v>909</v>
      </c>
      <c r="V128" s="75" t="s">
        <v>1482</v>
      </c>
      <c r="W128" s="75" t="s">
        <v>1483</v>
      </c>
      <c r="X128" s="75" t="s">
        <v>916</v>
      </c>
      <c r="Y128" s="75" t="s">
        <v>907</v>
      </c>
    </row>
    <row r="129" spans="1:25">
      <c r="A129" s="75" t="s">
        <v>905</v>
      </c>
      <c r="C129" s="75" t="s">
        <v>1478</v>
      </c>
      <c r="D129" s="75" t="s">
        <v>907</v>
      </c>
      <c r="E129" s="75" t="s">
        <v>1484</v>
      </c>
      <c r="F129" s="75" t="s">
        <v>909</v>
      </c>
      <c r="G129" s="75" t="s">
        <v>907</v>
      </c>
      <c r="H129" s="75" t="s">
        <v>907</v>
      </c>
      <c r="I129" s="75" t="s">
        <v>7</v>
      </c>
      <c r="J129" s="75" t="s">
        <v>1485</v>
      </c>
      <c r="K129" s="75" t="s">
        <v>907</v>
      </c>
      <c r="L129" s="75" t="s">
        <v>907</v>
      </c>
      <c r="M129" s="75" t="s">
        <v>907</v>
      </c>
      <c r="N129" s="75" t="s">
        <v>907</v>
      </c>
      <c r="O129" s="75" t="s">
        <v>907</v>
      </c>
      <c r="P129" s="75" t="s">
        <v>1389</v>
      </c>
      <c r="Q129" s="75" t="s">
        <v>1002</v>
      </c>
      <c r="R129" s="75" t="s">
        <v>909</v>
      </c>
      <c r="S129" s="75" t="s">
        <v>909</v>
      </c>
      <c r="T129" s="75" t="s">
        <v>909</v>
      </c>
      <c r="U129" s="75" t="s">
        <v>909</v>
      </c>
      <c r="V129" s="75" t="s">
        <v>1486</v>
      </c>
      <c r="W129" s="75" t="s">
        <v>1487</v>
      </c>
      <c r="X129" s="75" t="s">
        <v>916</v>
      </c>
      <c r="Y129" s="75" t="s">
        <v>907</v>
      </c>
    </row>
    <row r="130" spans="1:25">
      <c r="A130" s="75" t="s">
        <v>905</v>
      </c>
      <c r="C130" s="75" t="s">
        <v>1478</v>
      </c>
      <c r="D130" s="75" t="s">
        <v>907</v>
      </c>
      <c r="E130" s="75" t="s">
        <v>1488</v>
      </c>
      <c r="F130" s="75" t="s">
        <v>909</v>
      </c>
      <c r="G130" s="75" t="s">
        <v>907</v>
      </c>
      <c r="H130" s="75" t="s">
        <v>907</v>
      </c>
      <c r="I130" s="75" t="s">
        <v>7</v>
      </c>
      <c r="J130" s="75" t="s">
        <v>1489</v>
      </c>
      <c r="K130" s="75" t="s">
        <v>907</v>
      </c>
      <c r="L130" s="75" t="s">
        <v>907</v>
      </c>
      <c r="M130" s="75" t="s">
        <v>907</v>
      </c>
      <c r="N130" s="75" t="s">
        <v>907</v>
      </c>
      <c r="O130" s="75" t="s">
        <v>907</v>
      </c>
      <c r="P130" s="75" t="s">
        <v>1389</v>
      </c>
      <c r="Q130" s="75" t="s">
        <v>1002</v>
      </c>
      <c r="R130" s="75" t="s">
        <v>909</v>
      </c>
      <c r="S130" s="75" t="s">
        <v>909</v>
      </c>
      <c r="T130" s="75" t="s">
        <v>909</v>
      </c>
      <c r="U130" s="75" t="s">
        <v>909</v>
      </c>
      <c r="V130" s="75" t="s">
        <v>1490</v>
      </c>
      <c r="W130" s="75" t="s">
        <v>1491</v>
      </c>
      <c r="X130" s="75" t="s">
        <v>916</v>
      </c>
      <c r="Y130" s="75" t="s">
        <v>907</v>
      </c>
    </row>
    <row r="131" spans="1:25">
      <c r="A131" s="75" t="s">
        <v>905</v>
      </c>
      <c r="C131" s="75" t="s">
        <v>1478</v>
      </c>
      <c r="D131" s="75" t="s">
        <v>907</v>
      </c>
      <c r="E131" s="75" t="s">
        <v>1492</v>
      </c>
      <c r="F131" s="75" t="s">
        <v>909</v>
      </c>
      <c r="G131" s="75" t="s">
        <v>907</v>
      </c>
      <c r="H131" s="75" t="s">
        <v>907</v>
      </c>
      <c r="I131" s="75" t="s">
        <v>7</v>
      </c>
      <c r="J131" s="75" t="s">
        <v>1493</v>
      </c>
      <c r="K131" s="75" t="s">
        <v>907</v>
      </c>
      <c r="L131" s="75" t="s">
        <v>907</v>
      </c>
      <c r="M131" s="75" t="s">
        <v>907</v>
      </c>
      <c r="N131" s="75" t="s">
        <v>907</v>
      </c>
      <c r="O131" s="75" t="s">
        <v>907</v>
      </c>
      <c r="P131" s="75" t="s">
        <v>1494</v>
      </c>
      <c r="Q131" s="75" t="s">
        <v>1002</v>
      </c>
      <c r="R131" s="75" t="s">
        <v>909</v>
      </c>
      <c r="S131" s="75" t="s">
        <v>909</v>
      </c>
      <c r="T131" s="75" t="s">
        <v>909</v>
      </c>
      <c r="U131" s="75" t="s">
        <v>909</v>
      </c>
      <c r="V131" s="75" t="s">
        <v>1495</v>
      </c>
      <c r="W131" s="75" t="s">
        <v>1496</v>
      </c>
      <c r="X131" s="75" t="s">
        <v>916</v>
      </c>
      <c r="Y131" s="75" t="s">
        <v>907</v>
      </c>
    </row>
    <row r="132" spans="1:25">
      <c r="A132" s="75" t="s">
        <v>905</v>
      </c>
      <c r="C132" s="75" t="s">
        <v>1478</v>
      </c>
      <c r="D132" s="75" t="s">
        <v>907</v>
      </c>
      <c r="E132" s="75" t="s">
        <v>1497</v>
      </c>
      <c r="F132" s="75" t="s">
        <v>1001</v>
      </c>
      <c r="G132" s="75" t="s">
        <v>907</v>
      </c>
      <c r="H132" s="75" t="s">
        <v>907</v>
      </c>
      <c r="I132" s="75" t="s">
        <v>7</v>
      </c>
      <c r="J132" s="75" t="s">
        <v>1498</v>
      </c>
      <c r="K132" s="75" t="s">
        <v>907</v>
      </c>
      <c r="L132" s="75" t="s">
        <v>907</v>
      </c>
      <c r="M132" s="75" t="s">
        <v>907</v>
      </c>
      <c r="N132" s="75" t="s">
        <v>907</v>
      </c>
      <c r="O132" s="75" t="s">
        <v>907</v>
      </c>
      <c r="P132" s="75" t="s">
        <v>1499</v>
      </c>
      <c r="Q132" s="75" t="s">
        <v>1002</v>
      </c>
      <c r="R132" s="75" t="s">
        <v>909</v>
      </c>
      <c r="S132" s="75" t="s">
        <v>909</v>
      </c>
      <c r="T132" s="75" t="s">
        <v>909</v>
      </c>
      <c r="U132" s="75" t="s">
        <v>909</v>
      </c>
      <c r="V132" s="75" t="s">
        <v>1500</v>
      </c>
      <c r="W132" s="75" t="s">
        <v>1501</v>
      </c>
      <c r="X132" s="75" t="s">
        <v>916</v>
      </c>
      <c r="Y132" s="75" t="s">
        <v>907</v>
      </c>
    </row>
    <row r="133" spans="1:25">
      <c r="A133" s="75" t="s">
        <v>905</v>
      </c>
      <c r="C133" s="75" t="s">
        <v>1502</v>
      </c>
      <c r="D133" s="75" t="s">
        <v>907</v>
      </c>
      <c r="E133" s="75" t="s">
        <v>1503</v>
      </c>
      <c r="F133" s="75" t="s">
        <v>909</v>
      </c>
      <c r="G133" s="75" t="s">
        <v>907</v>
      </c>
      <c r="H133" s="75" t="s">
        <v>907</v>
      </c>
      <c r="I133" s="75" t="s">
        <v>7</v>
      </c>
      <c r="J133" s="75" t="s">
        <v>1504</v>
      </c>
      <c r="K133" s="75" t="s">
        <v>907</v>
      </c>
      <c r="L133" s="75" t="s">
        <v>907</v>
      </c>
      <c r="M133" s="75" t="s">
        <v>907</v>
      </c>
      <c r="N133" s="75" t="s">
        <v>1314</v>
      </c>
      <c r="O133" s="75" t="s">
        <v>907</v>
      </c>
      <c r="P133" s="75" t="s">
        <v>1505</v>
      </c>
      <c r="Q133" s="75" t="s">
        <v>1002</v>
      </c>
      <c r="R133" s="75" t="s">
        <v>909</v>
      </c>
      <c r="S133" s="75" t="s">
        <v>909</v>
      </c>
      <c r="T133" s="75" t="s">
        <v>909</v>
      </c>
      <c r="U133" s="75" t="s">
        <v>909</v>
      </c>
      <c r="V133" s="75" t="s">
        <v>1506</v>
      </c>
      <c r="W133" s="75" t="s">
        <v>1507</v>
      </c>
      <c r="X133" s="75" t="s">
        <v>916</v>
      </c>
      <c r="Y133" s="75" t="s">
        <v>907</v>
      </c>
    </row>
    <row r="134" spans="1:25">
      <c r="A134" s="75" t="s">
        <v>905</v>
      </c>
      <c r="C134" s="75" t="s">
        <v>1502</v>
      </c>
      <c r="D134" s="75" t="s">
        <v>907</v>
      </c>
      <c r="E134" s="75" t="s">
        <v>1503</v>
      </c>
      <c r="F134" s="75" t="s">
        <v>1204</v>
      </c>
      <c r="G134" s="75" t="s">
        <v>907</v>
      </c>
      <c r="H134" s="75" t="s">
        <v>907</v>
      </c>
      <c r="I134" s="75" t="s">
        <v>7</v>
      </c>
      <c r="J134" s="75" t="s">
        <v>1508</v>
      </c>
      <c r="K134" s="75" t="s">
        <v>907</v>
      </c>
      <c r="L134" s="75" t="s">
        <v>907</v>
      </c>
      <c r="M134" s="75" t="s">
        <v>907</v>
      </c>
      <c r="N134" s="75" t="s">
        <v>907</v>
      </c>
      <c r="O134" s="75" t="s">
        <v>907</v>
      </c>
      <c r="P134" s="75" t="s">
        <v>1509</v>
      </c>
      <c r="Q134" s="75" t="s">
        <v>1002</v>
      </c>
      <c r="R134" s="75" t="s">
        <v>909</v>
      </c>
      <c r="S134" s="75" t="s">
        <v>909</v>
      </c>
      <c r="T134" s="75" t="s">
        <v>909</v>
      </c>
      <c r="U134" s="75" t="s">
        <v>909</v>
      </c>
      <c r="V134" s="75" t="s">
        <v>1510</v>
      </c>
      <c r="W134" s="75" t="s">
        <v>1511</v>
      </c>
      <c r="X134" s="75" t="s">
        <v>916</v>
      </c>
      <c r="Y134" s="75" t="s">
        <v>907</v>
      </c>
    </row>
    <row r="135" spans="1:25">
      <c r="A135" s="75" t="s">
        <v>905</v>
      </c>
      <c r="C135" s="75" t="s">
        <v>1502</v>
      </c>
      <c r="D135" s="75" t="s">
        <v>907</v>
      </c>
      <c r="E135" s="75" t="s">
        <v>1512</v>
      </c>
      <c r="F135" s="75" t="s">
        <v>909</v>
      </c>
      <c r="G135" s="75" t="s">
        <v>907</v>
      </c>
      <c r="H135" s="75" t="s">
        <v>907</v>
      </c>
      <c r="I135" s="75" t="s">
        <v>7</v>
      </c>
      <c r="J135" s="75" t="s">
        <v>1513</v>
      </c>
      <c r="K135" s="75" t="s">
        <v>907</v>
      </c>
      <c r="L135" s="75" t="s">
        <v>907</v>
      </c>
      <c r="M135" s="75" t="s">
        <v>907</v>
      </c>
      <c r="N135" s="75" t="s">
        <v>1514</v>
      </c>
      <c r="O135" s="75" t="s">
        <v>907</v>
      </c>
      <c r="P135" s="75" t="s">
        <v>1515</v>
      </c>
      <c r="Q135" s="75" t="s">
        <v>1002</v>
      </c>
      <c r="R135" s="75" t="s">
        <v>909</v>
      </c>
      <c r="S135" s="75" t="s">
        <v>909</v>
      </c>
      <c r="T135" s="75" t="s">
        <v>909</v>
      </c>
      <c r="U135" s="75" t="s">
        <v>909</v>
      </c>
      <c r="V135" s="75" t="s">
        <v>1516</v>
      </c>
      <c r="W135" s="75" t="s">
        <v>1517</v>
      </c>
      <c r="X135" s="75" t="s">
        <v>916</v>
      </c>
      <c r="Y135" s="75" t="s">
        <v>907</v>
      </c>
    </row>
    <row r="136" spans="1:25">
      <c r="A136" s="75" t="s">
        <v>905</v>
      </c>
      <c r="C136" s="75" t="s">
        <v>1502</v>
      </c>
      <c r="D136" s="75" t="s">
        <v>907</v>
      </c>
      <c r="E136" s="75" t="s">
        <v>1518</v>
      </c>
      <c r="F136" s="75" t="s">
        <v>909</v>
      </c>
      <c r="G136" s="75" t="s">
        <v>907</v>
      </c>
      <c r="H136" s="75" t="s">
        <v>907</v>
      </c>
      <c r="I136" s="75" t="s">
        <v>7</v>
      </c>
      <c r="J136" s="75" t="s">
        <v>1519</v>
      </c>
      <c r="K136" s="75" t="s">
        <v>907</v>
      </c>
      <c r="L136" s="75" t="s">
        <v>907</v>
      </c>
      <c r="M136" s="75" t="s">
        <v>907</v>
      </c>
      <c r="N136" s="75" t="s">
        <v>1338</v>
      </c>
      <c r="O136" s="75" t="s">
        <v>907</v>
      </c>
      <c r="P136" s="75" t="s">
        <v>1520</v>
      </c>
      <c r="Q136" s="75" t="s">
        <v>1002</v>
      </c>
      <c r="R136" s="75" t="s">
        <v>909</v>
      </c>
      <c r="S136" s="75" t="s">
        <v>909</v>
      </c>
      <c r="T136" s="75" t="s">
        <v>909</v>
      </c>
      <c r="U136" s="75" t="s">
        <v>909</v>
      </c>
      <c r="V136" s="75" t="s">
        <v>1521</v>
      </c>
      <c r="W136" s="75" t="s">
        <v>1522</v>
      </c>
      <c r="X136" s="75" t="s">
        <v>916</v>
      </c>
      <c r="Y136" s="75" t="s">
        <v>907</v>
      </c>
    </row>
    <row r="137" spans="1:25">
      <c r="A137" s="75" t="s">
        <v>905</v>
      </c>
      <c r="C137" s="75" t="s">
        <v>1523</v>
      </c>
      <c r="D137" s="75" t="s">
        <v>907</v>
      </c>
      <c r="E137" s="75" t="s">
        <v>1524</v>
      </c>
      <c r="F137" s="75" t="s">
        <v>909</v>
      </c>
      <c r="G137" s="75" t="s">
        <v>907</v>
      </c>
      <c r="H137" s="75" t="s">
        <v>907</v>
      </c>
      <c r="I137" s="75" t="s">
        <v>9</v>
      </c>
      <c r="J137" s="75" t="s">
        <v>1525</v>
      </c>
      <c r="K137" s="75" t="s">
        <v>907</v>
      </c>
      <c r="L137" s="75" t="s">
        <v>907</v>
      </c>
      <c r="M137" s="75" t="s">
        <v>907</v>
      </c>
      <c r="N137" s="75" t="s">
        <v>1338</v>
      </c>
      <c r="O137" s="75" t="s">
        <v>907</v>
      </c>
      <c r="P137" s="75" t="s">
        <v>1526</v>
      </c>
      <c r="Q137" s="75" t="s">
        <v>909</v>
      </c>
      <c r="R137" s="75" t="s">
        <v>909</v>
      </c>
      <c r="S137" s="75" t="s">
        <v>909</v>
      </c>
      <c r="T137" s="75" t="s">
        <v>909</v>
      </c>
      <c r="U137" s="75" t="s">
        <v>909</v>
      </c>
      <c r="V137" s="75" t="s">
        <v>1527</v>
      </c>
      <c r="W137" s="75" t="s">
        <v>1377</v>
      </c>
      <c r="X137" s="75" t="s">
        <v>1527</v>
      </c>
      <c r="Y137" s="75" t="s">
        <v>907</v>
      </c>
    </row>
    <row r="138" spans="1:25">
      <c r="A138" s="75" t="s">
        <v>905</v>
      </c>
      <c r="C138" s="75" t="s">
        <v>1523</v>
      </c>
      <c r="D138" s="75" t="s">
        <v>907</v>
      </c>
      <c r="E138" s="75" t="s">
        <v>1524</v>
      </c>
      <c r="F138" s="75" t="s">
        <v>922</v>
      </c>
      <c r="G138" s="75" t="s">
        <v>907</v>
      </c>
      <c r="H138" s="75" t="s">
        <v>907</v>
      </c>
      <c r="I138" s="75" t="s">
        <v>9</v>
      </c>
      <c r="J138" s="75" t="s">
        <v>1528</v>
      </c>
      <c r="K138" s="75" t="s">
        <v>907</v>
      </c>
      <c r="L138" s="75" t="s">
        <v>907</v>
      </c>
      <c r="M138" s="75" t="s">
        <v>907</v>
      </c>
      <c r="N138" s="75" t="s">
        <v>907</v>
      </c>
      <c r="O138" s="75" t="s">
        <v>1529</v>
      </c>
      <c r="P138" s="75" t="s">
        <v>1530</v>
      </c>
      <c r="Q138" s="75" t="s">
        <v>909</v>
      </c>
      <c r="R138" s="75" t="s">
        <v>909</v>
      </c>
      <c r="S138" s="75" t="s">
        <v>909</v>
      </c>
      <c r="T138" s="75" t="s">
        <v>909</v>
      </c>
      <c r="U138" s="75" t="s">
        <v>909</v>
      </c>
      <c r="V138" s="75" t="s">
        <v>1531</v>
      </c>
      <c r="W138" s="75" t="s">
        <v>1377</v>
      </c>
      <c r="X138" s="75" t="s">
        <v>1531</v>
      </c>
      <c r="Y138" s="75" t="s">
        <v>907</v>
      </c>
    </row>
    <row r="139" spans="1:25">
      <c r="A139" s="75" t="s">
        <v>905</v>
      </c>
      <c r="C139" s="75" t="s">
        <v>1523</v>
      </c>
      <c r="D139" s="75" t="s">
        <v>907</v>
      </c>
      <c r="E139" s="75" t="s">
        <v>1532</v>
      </c>
      <c r="F139" s="75" t="s">
        <v>909</v>
      </c>
      <c r="G139" s="75" t="s">
        <v>907</v>
      </c>
      <c r="H139" s="75" t="s">
        <v>907</v>
      </c>
      <c r="I139" s="75" t="s">
        <v>9</v>
      </c>
      <c r="J139" s="75" t="s">
        <v>1533</v>
      </c>
      <c r="K139" s="75" t="s">
        <v>907</v>
      </c>
      <c r="L139" s="75" t="s">
        <v>907</v>
      </c>
      <c r="M139" s="75" t="s">
        <v>907</v>
      </c>
      <c r="N139" s="75" t="s">
        <v>1338</v>
      </c>
      <c r="O139" s="75" t="s">
        <v>907</v>
      </c>
      <c r="P139" s="75" t="s">
        <v>1534</v>
      </c>
      <c r="Q139" s="75" t="s">
        <v>909</v>
      </c>
      <c r="R139" s="75" t="s">
        <v>909</v>
      </c>
      <c r="S139" s="75" t="s">
        <v>909</v>
      </c>
      <c r="T139" s="75" t="s">
        <v>909</v>
      </c>
      <c r="U139" s="75" t="s">
        <v>909</v>
      </c>
      <c r="V139" s="75" t="s">
        <v>1535</v>
      </c>
      <c r="W139" s="75" t="s">
        <v>1377</v>
      </c>
      <c r="X139" s="75" t="s">
        <v>1535</v>
      </c>
      <c r="Y139" s="75" t="s">
        <v>907</v>
      </c>
    </row>
    <row r="140" spans="1:25">
      <c r="A140" s="75" t="s">
        <v>905</v>
      </c>
      <c r="C140" s="75" t="s">
        <v>1536</v>
      </c>
      <c r="D140" s="75" t="s">
        <v>907</v>
      </c>
      <c r="E140" s="75" t="s">
        <v>1537</v>
      </c>
      <c r="F140" s="75" t="s">
        <v>909</v>
      </c>
      <c r="G140" s="75" t="s">
        <v>907</v>
      </c>
      <c r="H140" s="75" t="s">
        <v>907</v>
      </c>
      <c r="I140" s="75" t="s">
        <v>7</v>
      </c>
      <c r="J140" s="75" t="s">
        <v>1538</v>
      </c>
      <c r="K140" s="75" t="s">
        <v>907</v>
      </c>
      <c r="L140" s="75" t="s">
        <v>907</v>
      </c>
      <c r="M140" s="75" t="s">
        <v>907</v>
      </c>
      <c r="N140" s="75" t="s">
        <v>1539</v>
      </c>
      <c r="O140" s="75" t="s">
        <v>1540</v>
      </c>
      <c r="P140" s="75" t="s">
        <v>1541</v>
      </c>
      <c r="Q140" s="75" t="s">
        <v>909</v>
      </c>
      <c r="R140" s="75" t="s">
        <v>909</v>
      </c>
      <c r="S140" s="75" t="s">
        <v>909</v>
      </c>
      <c r="T140" s="75" t="s">
        <v>909</v>
      </c>
      <c r="U140" s="75" t="s">
        <v>909</v>
      </c>
      <c r="V140" s="75" t="s">
        <v>1542</v>
      </c>
      <c r="W140" s="75" t="s">
        <v>1377</v>
      </c>
      <c r="X140" s="75" t="s">
        <v>1542</v>
      </c>
      <c r="Y140" s="75" t="s">
        <v>907</v>
      </c>
    </row>
  </sheetData>
  <autoFilter ref="A1:Y140" xr:uid="{28DEAE36-6555-42B4-9930-C47F2ED4AEE3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NN+A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Guo Shuting Serena</dc:creator>
  <cp:keywords/>
  <dc:description/>
  <cp:lastModifiedBy>How Pei Xin (TTSH)</cp:lastModifiedBy>
  <cp:revision/>
  <dcterms:created xsi:type="dcterms:W3CDTF">2020-06-11T07:23:31Z</dcterms:created>
  <dcterms:modified xsi:type="dcterms:W3CDTF">2026-07-14T02:41:24Z</dcterms:modified>
  <cp:category/>
  <cp:contentStatus/>
</cp:coreProperties>
</file>